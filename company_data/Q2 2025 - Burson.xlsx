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piriz/Desktop/"/>
    </mc:Choice>
  </mc:AlternateContent>
  <xr:revisionPtr revIDLastSave="0" documentId="8_{51FCCDA9-78D6-7A48-872E-A91BACCC2D63}" xr6:coauthVersionLast="47" xr6:coauthVersionMax="47" xr10:uidLastSave="{00000000-0000-0000-0000-000000000000}"/>
  <bookViews>
    <workbookView xWindow="0" yWindow="500" windowWidth="28800" windowHeight="15720" tabRatio="754" xr2:uid="{482120F7-B20B-470E-88D8-5F0BE061EFC8}"/>
  </bookViews>
  <sheets>
    <sheet name="Uruguay P&amp;L" sheetId="10" r:id="rId1"/>
    <sheet name="Uruguay Phasing" sheetId="23" r:id="rId2"/>
    <sheet name="Pipeline" sheetId="13" r:id="rId3"/>
    <sheet name="Setup" sheetId="1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3" l="1"/>
  <c r="D37" i="10"/>
  <c r="F14" i="10"/>
  <c r="D23" i="10" l="1"/>
  <c r="F32" i="10"/>
  <c r="F23" i="10"/>
  <c r="F26" i="10" s="1"/>
  <c r="F10" i="10"/>
  <c r="F15" i="10"/>
  <c r="D32" i="10"/>
  <c r="F24" i="10" l="1"/>
  <c r="L28" i="23"/>
  <c r="I28" i="23"/>
  <c r="F28" i="23"/>
  <c r="C28" i="23"/>
  <c r="L27" i="23"/>
  <c r="I27" i="23"/>
  <c r="F27" i="23"/>
  <c r="C27" i="23"/>
  <c r="L26" i="23"/>
  <c r="I26" i="23"/>
  <c r="F26" i="23"/>
  <c r="C26" i="23"/>
  <c r="N24" i="23" l="1"/>
  <c r="M24" i="23"/>
  <c r="L24" i="23"/>
  <c r="K24" i="23"/>
  <c r="J24" i="23"/>
  <c r="I24" i="23"/>
  <c r="H24" i="23"/>
  <c r="G24" i="23"/>
  <c r="F24" i="23"/>
  <c r="E24" i="23"/>
  <c r="D24" i="23"/>
  <c r="C24" i="23"/>
  <c r="O23" i="23"/>
  <c r="O22" i="23"/>
  <c r="N11" i="23"/>
  <c r="M11" i="23"/>
  <c r="L11" i="23"/>
  <c r="K11" i="23"/>
  <c r="J11" i="23"/>
  <c r="I11" i="23"/>
  <c r="H11" i="23"/>
  <c r="G11" i="23"/>
  <c r="F11" i="23"/>
  <c r="E11" i="23"/>
  <c r="D11" i="23"/>
  <c r="C11" i="23"/>
  <c r="O10" i="23"/>
  <c r="L15" i="23" s="1"/>
  <c r="O9" i="23"/>
  <c r="L14" i="23" s="1"/>
  <c r="O8" i="23"/>
  <c r="L13" i="23" s="1"/>
  <c r="G44" i="10"/>
  <c r="H44" i="10" s="1"/>
  <c r="G43" i="10"/>
  <c r="H43" i="10" s="1"/>
  <c r="D38" i="10"/>
  <c r="G32" i="10"/>
  <c r="G31" i="10"/>
  <c r="H31" i="10" s="1"/>
  <c r="J29" i="10"/>
  <c r="K29" i="10" s="1"/>
  <c r="G29" i="10"/>
  <c r="H29" i="10" s="1"/>
  <c r="I24" i="10"/>
  <c r="D24" i="10"/>
  <c r="J22" i="10"/>
  <c r="K22" i="10" s="1"/>
  <c r="G22" i="10"/>
  <c r="H22" i="10" s="1"/>
  <c r="J21" i="10"/>
  <c r="K21" i="10" s="1"/>
  <c r="G21" i="10"/>
  <c r="H21" i="10" s="1"/>
  <c r="J20" i="10"/>
  <c r="K20" i="10" s="1"/>
  <c r="G20" i="10"/>
  <c r="I18" i="10"/>
  <c r="F18" i="10"/>
  <c r="D18" i="10"/>
  <c r="J18" i="10" s="1"/>
  <c r="J17" i="10"/>
  <c r="K17" i="10" s="1"/>
  <c r="G17" i="10"/>
  <c r="H17" i="10" s="1"/>
  <c r="D14" i="10"/>
  <c r="J12" i="10"/>
  <c r="K12" i="10" s="1"/>
  <c r="G12" i="10"/>
  <c r="H12" i="10" s="1"/>
  <c r="J11" i="10"/>
  <c r="K11" i="10" s="1"/>
  <c r="G11" i="10"/>
  <c r="H11" i="10" s="1"/>
  <c r="D10" i="10"/>
  <c r="J10" i="10" s="1"/>
  <c r="J9" i="10"/>
  <c r="K9" i="10" s="1"/>
  <c r="G9" i="10"/>
  <c r="H9" i="10" s="1"/>
  <c r="J7" i="10"/>
  <c r="K7" i="10" s="1"/>
  <c r="G7" i="10"/>
  <c r="C14" i="23" l="1"/>
  <c r="F14" i="23"/>
  <c r="I14" i="23"/>
  <c r="C15" i="23"/>
  <c r="F15" i="23"/>
  <c r="G23" i="10"/>
  <c r="H23" i="10" s="1"/>
  <c r="D26" i="10"/>
  <c r="D27" i="10" s="1"/>
  <c r="G10" i="10"/>
  <c r="F27" i="10"/>
  <c r="J23" i="10"/>
  <c r="K23" i="10"/>
  <c r="I15" i="23"/>
  <c r="O11" i="23"/>
  <c r="C13" i="23"/>
  <c r="F13" i="23"/>
  <c r="I13" i="23"/>
  <c r="O24" i="23"/>
  <c r="J24" i="10"/>
  <c r="I27" i="10"/>
  <c r="G14" i="10"/>
  <c r="H14" i="10" s="1"/>
  <c r="H7" i="10"/>
  <c r="J14" i="10"/>
  <c r="G18" i="10"/>
  <c r="G24" i="10"/>
  <c r="D15" i="10"/>
  <c r="H20" i="10"/>
  <c r="G27" i="10" l="1"/>
  <c r="J27" i="10"/>
  <c r="J15" i="10"/>
  <c r="G15" i="10"/>
  <c r="K14" i="10"/>
  <c r="J26" i="10"/>
  <c r="K26" i="10" s="1"/>
  <c r="G26" i="10"/>
  <c r="H26" i="10" s="1"/>
  <c r="P8" i="23" l="1"/>
  <c r="K209" i="13"/>
  <c r="J209" i="13"/>
  <c r="K208" i="13"/>
  <c r="J208" i="13"/>
  <c r="K207" i="13"/>
  <c r="J207" i="13"/>
  <c r="K206" i="13"/>
  <c r="J206" i="13"/>
  <c r="K205" i="13"/>
  <c r="J205" i="13"/>
  <c r="K204" i="13"/>
  <c r="J204" i="13"/>
  <c r="K203" i="13"/>
  <c r="J203" i="13"/>
  <c r="K202" i="13"/>
  <c r="J202" i="13"/>
  <c r="K201" i="13"/>
  <c r="J201" i="13"/>
  <c r="K200" i="13"/>
  <c r="J200" i="13"/>
  <c r="K199" i="13"/>
  <c r="J199" i="13"/>
  <c r="K198" i="13"/>
  <c r="J198" i="13"/>
  <c r="K197" i="13"/>
  <c r="J197" i="13"/>
  <c r="K196" i="13"/>
  <c r="J196" i="13"/>
  <c r="K195" i="13"/>
  <c r="J195" i="13"/>
  <c r="K194" i="13"/>
  <c r="J194" i="13"/>
  <c r="K193" i="13"/>
  <c r="J193" i="13"/>
  <c r="K192" i="13"/>
  <c r="J192" i="13"/>
  <c r="K191" i="13"/>
  <c r="J191" i="13"/>
  <c r="K190" i="13"/>
  <c r="J190" i="13"/>
  <c r="K189" i="13"/>
  <c r="J189" i="13"/>
  <c r="K188" i="13"/>
  <c r="J188" i="13"/>
  <c r="K187" i="13"/>
  <c r="J187" i="13"/>
  <c r="K186" i="13"/>
  <c r="J186" i="13"/>
  <c r="K185" i="13"/>
  <c r="J185" i="13"/>
  <c r="K184" i="13"/>
  <c r="J184" i="13"/>
  <c r="K183" i="13"/>
  <c r="J183" i="13"/>
  <c r="K182" i="13"/>
  <c r="J182" i="13"/>
  <c r="K181" i="13"/>
  <c r="J181" i="13"/>
  <c r="K180" i="13"/>
  <c r="J180" i="13"/>
  <c r="K179" i="13"/>
  <c r="J179" i="13"/>
  <c r="K178" i="13"/>
  <c r="J178" i="13"/>
  <c r="K177" i="13"/>
  <c r="J177" i="13"/>
  <c r="K176" i="13"/>
  <c r="J176" i="13"/>
  <c r="K175" i="13"/>
  <c r="J175" i="13"/>
  <c r="K174" i="13"/>
  <c r="J174" i="13"/>
  <c r="K61" i="13" l="1"/>
  <c r="J61" i="13"/>
  <c r="K60" i="13"/>
  <c r="J60" i="13"/>
  <c r="K59" i="13"/>
  <c r="J59" i="13"/>
  <c r="K58" i="13"/>
  <c r="J58" i="13"/>
  <c r="K57" i="13"/>
  <c r="J57" i="13"/>
  <c r="K56" i="13"/>
  <c r="J56" i="13"/>
  <c r="K55" i="13"/>
  <c r="J55" i="13"/>
  <c r="K54" i="13"/>
  <c r="J54" i="13"/>
  <c r="K53" i="13"/>
  <c r="J53" i="13"/>
  <c r="K52" i="13"/>
  <c r="J52" i="13"/>
  <c r="K51" i="13"/>
  <c r="J51" i="13"/>
  <c r="K50" i="13"/>
  <c r="J50" i="13"/>
  <c r="K49" i="13"/>
  <c r="J49" i="13"/>
  <c r="K48" i="13"/>
  <c r="J48" i="13"/>
  <c r="K47" i="13"/>
  <c r="J47" i="13"/>
  <c r="K46" i="13"/>
  <c r="J46" i="13"/>
  <c r="K45" i="13"/>
  <c r="J45" i="13"/>
  <c r="K44" i="13"/>
  <c r="J44" i="13"/>
  <c r="K43" i="13"/>
  <c r="J43" i="13"/>
  <c r="K42" i="13"/>
  <c r="J42" i="13"/>
  <c r="K41" i="13"/>
  <c r="J41" i="13"/>
  <c r="K40" i="13"/>
  <c r="J40" i="13"/>
  <c r="K39" i="13"/>
  <c r="J39" i="13"/>
  <c r="K38" i="13"/>
  <c r="J38" i="13"/>
  <c r="K37" i="13"/>
  <c r="J37" i="13"/>
  <c r="K36" i="13"/>
  <c r="J36" i="13"/>
  <c r="K35" i="13"/>
  <c r="J35" i="13"/>
  <c r="K34" i="13"/>
  <c r="J34" i="13"/>
  <c r="K33" i="13"/>
  <c r="J33" i="13"/>
  <c r="K32" i="13"/>
  <c r="J32" i="13"/>
  <c r="K31" i="13"/>
  <c r="J31" i="13"/>
  <c r="K30" i="13"/>
  <c r="J30" i="13"/>
  <c r="K29" i="13"/>
  <c r="J29" i="13"/>
  <c r="K28" i="13"/>
  <c r="J28" i="13"/>
  <c r="K27" i="13"/>
  <c r="J27" i="13"/>
  <c r="K26" i="13"/>
  <c r="J26" i="13"/>
  <c r="K25" i="13"/>
  <c r="J25" i="13"/>
  <c r="K92" i="13"/>
  <c r="J92" i="13"/>
  <c r="K91" i="13"/>
  <c r="J91" i="13"/>
  <c r="K90" i="13"/>
  <c r="J90" i="13"/>
  <c r="K89" i="13"/>
  <c r="J89" i="13"/>
  <c r="K88" i="13"/>
  <c r="J88" i="13"/>
  <c r="K87" i="13"/>
  <c r="J87" i="13"/>
  <c r="K86" i="13"/>
  <c r="J86" i="13"/>
  <c r="K85" i="13"/>
  <c r="J85" i="13"/>
  <c r="K84" i="13"/>
  <c r="J84" i="13"/>
  <c r="K83" i="13"/>
  <c r="J83" i="13"/>
  <c r="K82" i="13"/>
  <c r="J82" i="13"/>
  <c r="K81" i="13"/>
  <c r="J81" i="13"/>
  <c r="K80" i="13"/>
  <c r="J80" i="13"/>
  <c r="K79" i="13"/>
  <c r="J79" i="13"/>
  <c r="K78" i="13"/>
  <c r="J78" i="13"/>
  <c r="K77" i="13"/>
  <c r="J77" i="13"/>
  <c r="K76" i="13"/>
  <c r="J76" i="13"/>
  <c r="K75" i="13"/>
  <c r="J75" i="13"/>
  <c r="K74" i="13"/>
  <c r="J74" i="13"/>
  <c r="K73" i="13"/>
  <c r="J73" i="13"/>
  <c r="K72" i="13"/>
  <c r="J72" i="13"/>
  <c r="K71" i="13"/>
  <c r="J71" i="13"/>
  <c r="K70" i="13"/>
  <c r="J70" i="13"/>
  <c r="K69" i="13"/>
  <c r="J69" i="13"/>
  <c r="K68" i="13"/>
  <c r="J68" i="13"/>
  <c r="K67" i="13"/>
  <c r="J67" i="13"/>
  <c r="K66" i="13"/>
  <c r="J66" i="13"/>
  <c r="K65" i="13"/>
  <c r="J65" i="13"/>
  <c r="K64" i="13"/>
  <c r="J64" i="13"/>
  <c r="K63" i="13"/>
  <c r="J63" i="13"/>
  <c r="K62" i="13"/>
  <c r="J62" i="13"/>
  <c r="K127" i="13" l="1"/>
  <c r="J127" i="13"/>
  <c r="K126" i="13"/>
  <c r="J126" i="13"/>
  <c r="K125" i="13"/>
  <c r="J125" i="13"/>
  <c r="K124" i="13"/>
  <c r="J124" i="13"/>
  <c r="K123" i="13"/>
  <c r="J123" i="13"/>
  <c r="K122" i="13"/>
  <c r="J122" i="13"/>
  <c r="K121" i="13"/>
  <c r="J121" i="13"/>
  <c r="K120" i="13"/>
  <c r="J120" i="13"/>
  <c r="K119" i="13"/>
  <c r="J119" i="13"/>
  <c r="K131" i="13"/>
  <c r="J131" i="13"/>
  <c r="K118" i="13"/>
  <c r="J118" i="13"/>
  <c r="K117" i="13"/>
  <c r="J117" i="13"/>
  <c r="K116" i="13"/>
  <c r="J116" i="13"/>
  <c r="K115" i="13"/>
  <c r="J115" i="13"/>
  <c r="K114" i="13"/>
  <c r="J114" i="13"/>
  <c r="K113" i="13"/>
  <c r="J113" i="13"/>
  <c r="K112" i="13"/>
  <c r="J112" i="13"/>
  <c r="K130" i="13"/>
  <c r="J130" i="13"/>
  <c r="K111" i="13"/>
  <c r="J111" i="13"/>
  <c r="K110" i="13"/>
  <c r="J110" i="13"/>
  <c r="K129" i="13"/>
  <c r="J129" i="13"/>
  <c r="K109" i="13"/>
  <c r="J109" i="13"/>
  <c r="K108" i="13"/>
  <c r="J108" i="13"/>
  <c r="K107" i="13"/>
  <c r="J107" i="13"/>
  <c r="K106" i="13"/>
  <c r="J106" i="13"/>
  <c r="K105" i="13"/>
  <c r="J105" i="13"/>
  <c r="K104" i="13"/>
  <c r="J104" i="13"/>
  <c r="K103" i="13"/>
  <c r="J103" i="13"/>
  <c r="K102" i="13"/>
  <c r="J102" i="13"/>
  <c r="K128" i="13"/>
  <c r="J128" i="13"/>
  <c r="K101" i="13"/>
  <c r="J101" i="13"/>
  <c r="K100" i="13"/>
  <c r="J100" i="13"/>
  <c r="K99" i="13"/>
  <c r="J99" i="13"/>
  <c r="K98" i="13"/>
  <c r="J98" i="13"/>
  <c r="K97" i="13"/>
  <c r="J97" i="13"/>
  <c r="K24" i="13"/>
  <c r="J24" i="13"/>
  <c r="K23" i="13"/>
  <c r="J23" i="13"/>
  <c r="K22" i="13"/>
  <c r="J22" i="13"/>
  <c r="K21" i="13"/>
  <c r="J21" i="13"/>
  <c r="K20" i="13"/>
  <c r="J20" i="13"/>
  <c r="K19" i="13"/>
  <c r="J19" i="13"/>
  <c r="K18" i="13"/>
  <c r="J18" i="13"/>
  <c r="I7" i="13"/>
  <c r="H7" i="13"/>
  <c r="D34" i="10" s="1"/>
  <c r="D35" i="10" s="1"/>
  <c r="K17" i="13" l="1"/>
  <c r="J17" i="13"/>
  <c r="K16" i="13"/>
  <c r="J16" i="13"/>
  <c r="K15" i="13"/>
  <c r="J15" i="13"/>
  <c r="K14" i="13"/>
  <c r="J14" i="13"/>
  <c r="K13" i="13"/>
  <c r="J13" i="13"/>
  <c r="K12" i="13"/>
  <c r="J12" i="13"/>
  <c r="K11" i="13"/>
  <c r="J11" i="13"/>
  <c r="K10" i="13"/>
  <c r="K236" i="13"/>
  <c r="J236" i="13"/>
  <c r="K235" i="13"/>
  <c r="J235" i="13"/>
  <c r="K234" i="13"/>
  <c r="J234" i="13"/>
  <c r="K233" i="13"/>
  <c r="J233" i="13"/>
  <c r="K232" i="13"/>
  <c r="J232" i="13"/>
  <c r="K231" i="13"/>
  <c r="J231" i="13"/>
  <c r="K230" i="13"/>
  <c r="J230" i="13"/>
  <c r="K229" i="13"/>
  <c r="J229" i="13"/>
  <c r="K228" i="13"/>
  <c r="J228" i="13"/>
  <c r="K227" i="13"/>
  <c r="J227" i="13"/>
  <c r="K226" i="13"/>
  <c r="J226" i="13"/>
  <c r="K225" i="13"/>
  <c r="J225" i="13"/>
  <c r="K224" i="13"/>
  <c r="J224" i="13"/>
  <c r="K223" i="13"/>
  <c r="J223" i="13"/>
  <c r="K222" i="13"/>
  <c r="J222" i="13"/>
  <c r="K221" i="13"/>
  <c r="J221" i="13"/>
  <c r="K220" i="13"/>
  <c r="J220" i="13"/>
  <c r="K219" i="13"/>
  <c r="J219" i="13"/>
  <c r="K218" i="13"/>
  <c r="J218" i="13"/>
  <c r="K217" i="13"/>
  <c r="J217" i="13"/>
  <c r="K216" i="13"/>
  <c r="J216" i="13"/>
  <c r="K215" i="13"/>
  <c r="J215" i="13"/>
  <c r="K173" i="13"/>
  <c r="J173" i="13"/>
  <c r="K172" i="13"/>
  <c r="J172" i="13"/>
  <c r="K171" i="13"/>
  <c r="J171" i="13"/>
  <c r="K170" i="13"/>
  <c r="J170" i="13"/>
  <c r="K169" i="13"/>
  <c r="J169" i="13"/>
  <c r="K168" i="13"/>
  <c r="J168" i="13"/>
  <c r="K167" i="13"/>
  <c r="J167" i="13"/>
  <c r="K166" i="13"/>
  <c r="J166" i="13"/>
  <c r="K165" i="13"/>
  <c r="J165" i="13"/>
  <c r="K164" i="13"/>
  <c r="J164" i="13"/>
  <c r="K163" i="13"/>
  <c r="J163" i="13"/>
  <c r="K162" i="13"/>
  <c r="J162" i="13"/>
  <c r="K161" i="13"/>
  <c r="J161" i="13"/>
  <c r="K160" i="13"/>
  <c r="J160" i="13"/>
  <c r="K159" i="13"/>
  <c r="J159" i="13"/>
  <c r="K158" i="13"/>
  <c r="J158" i="13"/>
  <c r="K157" i="13"/>
  <c r="J157" i="13"/>
  <c r="K156" i="13"/>
  <c r="J156" i="13"/>
  <c r="K155" i="13"/>
  <c r="J155" i="13"/>
  <c r="K154" i="13"/>
  <c r="J154" i="13"/>
  <c r="K153" i="13"/>
  <c r="J153" i="13"/>
  <c r="K152" i="13"/>
  <c r="J152" i="13"/>
  <c r="K151" i="13"/>
  <c r="J151" i="13"/>
  <c r="K150" i="13"/>
  <c r="J150" i="13"/>
  <c r="K149" i="13"/>
  <c r="J149" i="13"/>
  <c r="K148" i="13"/>
  <c r="J148" i="13"/>
  <c r="K147" i="13"/>
  <c r="J147" i="13"/>
  <c r="K146" i="13"/>
  <c r="J146" i="13"/>
  <c r="K145" i="13"/>
  <c r="J145" i="13"/>
  <c r="K144" i="13"/>
  <c r="J144" i="13"/>
  <c r="K143" i="13"/>
  <c r="J143" i="13"/>
  <c r="K142" i="13"/>
  <c r="J142" i="13"/>
  <c r="K141" i="13"/>
  <c r="J141" i="13"/>
  <c r="K140" i="13"/>
  <c r="J140" i="13"/>
  <c r="K139" i="13"/>
  <c r="J139" i="13"/>
  <c r="K138" i="13"/>
  <c r="J138" i="13"/>
  <c r="K137" i="13"/>
  <c r="J137" i="13"/>
  <c r="K136" i="13"/>
  <c r="J136" i="13"/>
  <c r="K135" i="13"/>
  <c r="J135" i="13"/>
  <c r="K134" i="13"/>
  <c r="J134" i="13"/>
  <c r="K133" i="13"/>
  <c r="J133" i="13"/>
  <c r="K132" i="13"/>
  <c r="J132" i="13"/>
  <c r="K214" i="13"/>
  <c r="J214" i="13"/>
  <c r="K213" i="13"/>
  <c r="J213" i="13"/>
  <c r="K212" i="13"/>
  <c r="J212" i="13"/>
  <c r="K211" i="13"/>
  <c r="J211" i="13"/>
  <c r="K210" i="13"/>
  <c r="J210" i="13"/>
  <c r="K96" i="13"/>
  <c r="J96" i="13"/>
  <c r="K95" i="13"/>
  <c r="J95" i="13"/>
  <c r="K94" i="13"/>
  <c r="J94" i="13"/>
  <c r="K93" i="13"/>
  <c r="J93" i="13"/>
  <c r="K7" i="13" l="1"/>
  <c r="J7" i="13"/>
  <c r="P9" i="23"/>
  <c r="P10" i="23" l="1"/>
</calcChain>
</file>

<file path=xl/sharedStrings.xml><?xml version="1.0" encoding="utf-8"?>
<sst xmlns="http://schemas.openxmlformats.org/spreadsheetml/2006/main" count="112" uniqueCount="86">
  <si>
    <t>Net Sales</t>
  </si>
  <si>
    <t>SFLICTOS</t>
  </si>
  <si>
    <t>% ratio</t>
  </si>
  <si>
    <t>Severance</t>
  </si>
  <si>
    <t>Other Staff Costs</t>
  </si>
  <si>
    <t>Staff Costs</t>
  </si>
  <si>
    <t>Establishment Costs</t>
  </si>
  <si>
    <t>Personal Costs</t>
  </si>
  <si>
    <t>Overhead</t>
  </si>
  <si>
    <t>Other G&amp;A Costs</t>
  </si>
  <si>
    <t>Operating Profit</t>
  </si>
  <si>
    <t>% margin</t>
  </si>
  <si>
    <t>HC - Period End</t>
  </si>
  <si>
    <t>New Business</t>
  </si>
  <si>
    <t>% of Rem. Net Sales</t>
  </si>
  <si>
    <t>% of New Business</t>
  </si>
  <si>
    <t>Total Pipeline</t>
  </si>
  <si>
    <t>G&amp;A Costs</t>
  </si>
  <si>
    <t>URUGUAY</t>
  </si>
  <si>
    <t>Burson</t>
  </si>
  <si>
    <t>Jeffrey Group</t>
  </si>
  <si>
    <t>Maquina</t>
  </si>
  <si>
    <t>Pipeline Weighted</t>
  </si>
  <si>
    <t>'000 USD</t>
  </si>
  <si>
    <t>Country</t>
  </si>
  <si>
    <t>Brand</t>
  </si>
  <si>
    <t>Argentina</t>
  </si>
  <si>
    <t>Brazil</t>
  </si>
  <si>
    <t>Chile</t>
  </si>
  <si>
    <t>Colombia</t>
  </si>
  <si>
    <t>Mexico</t>
  </si>
  <si>
    <t>Peru</t>
  </si>
  <si>
    <t>Puerto Rico</t>
  </si>
  <si>
    <t>Uruguay</t>
  </si>
  <si>
    <t>Client/Prospect</t>
  </si>
  <si>
    <t>Project Name</t>
  </si>
  <si>
    <t>Annual Fee</t>
  </si>
  <si>
    <t>Probability</t>
  </si>
  <si>
    <t>%</t>
  </si>
  <si>
    <t>PIPELINE</t>
  </si>
  <si>
    <t>2025 Impact</t>
  </si>
  <si>
    <t>Annual Fee
(Weighted)</t>
  </si>
  <si>
    <t>2025 Impact
(Weighted)</t>
  </si>
  <si>
    <t>New Client</t>
  </si>
  <si>
    <t>Organic - Project</t>
  </si>
  <si>
    <t>Type</t>
  </si>
  <si>
    <t>Organic - Renewal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</si>
  <si>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</si>
  <si>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</si>
  <si>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</si>
  <si>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</si>
  <si>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</si>
  <si>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</si>
  <si>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</si>
  <si>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</si>
  <si>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</si>
  <si>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</si>
  <si>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</si>
  <si>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</si>
  <si>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2025 TOTAL</t>
  </si>
  <si>
    <t xml:space="preserve">Net Sales   </t>
  </si>
  <si>
    <t xml:space="preserve">Staff Costs   </t>
  </si>
  <si>
    <t xml:space="preserve">Operating Profit   </t>
  </si>
  <si>
    <t>variations between +1% and -1% over 2024</t>
  </si>
  <si>
    <t>Attrition</t>
  </si>
  <si>
    <t>Annual savings:</t>
  </si>
  <si>
    <t>Headcount impact:</t>
  </si>
  <si>
    <t>24PF</t>
  </si>
  <si>
    <t>vs 24PF</t>
  </si>
  <si>
    <t>vs 24PF %</t>
  </si>
  <si>
    <t>Miami</t>
  </si>
  <si>
    <t>Q1RF</t>
  </si>
  <si>
    <t>2025 Q1RF</t>
  </si>
  <si>
    <t>2024 PF</t>
  </si>
  <si>
    <t>schenck</t>
  </si>
  <si>
    <t>dlocal</t>
  </si>
  <si>
    <t>Pag Brasil</t>
  </si>
  <si>
    <t>BSE</t>
  </si>
  <si>
    <t>UPM</t>
  </si>
  <si>
    <t>EQUEIFAX</t>
  </si>
  <si>
    <t>EPSON</t>
  </si>
  <si>
    <t>Mc Kinsey</t>
  </si>
  <si>
    <t>Interfase</t>
  </si>
  <si>
    <t>Q2RF</t>
  </si>
  <si>
    <t>vs Q1RF</t>
  </si>
  <si>
    <t>vs Q1RF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</si>
</sst>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.0%_);[Red]\(#,##0.0%\)"/>
    <numFmt numFmtId="166" formatCode="#,##0%_);[Red]\(#,##0%\)"/>
    <numFmt numFmtId="167" formatCode="#,##0.0_);[Red]\(#,##0.0\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i/>
      <sz val="10"/>
      <color rgb="FF00B050"/>
      <name val="Aptos Narrow"/>
      <family val="2"/>
      <scheme val="minor"/>
    </font>
    <font>
      <b/>
      <i/>
      <sz val="10"/>
      <color rgb="FF00B050"/>
      <name val="Aptos Narrow"/>
      <family val="2"/>
      <scheme val="minor"/>
    </font>
    <font>
      <i/>
      <u/>
      <sz val="10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theme="0" tint="-0.499984740745262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0" fillId="0" borderId="0" xfId="0" applyAlignment="1">
      <alignment vertical="center"/>
    </xf>
    <xf numFmtId="3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8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top"/>
    </xf>
    <xf numFmtId="38" fontId="0" fillId="0" borderId="0" xfId="0" applyNumberFormat="1" applyAlignment="1">
      <alignment horizontal="right" vertical="center"/>
    </xf>
    <xf numFmtId="38" fontId="0" fillId="2" borderId="0" xfId="0" applyNumberFormat="1" applyFill="1" applyAlignment="1">
      <alignment horizontal="right" vertical="center"/>
    </xf>
    <xf numFmtId="164" fontId="3" fillId="0" borderId="0" xfId="1" applyNumberFormat="1" applyFont="1" applyAlignment="1">
      <alignment horizontal="right" vertical="center"/>
    </xf>
    <xf numFmtId="164" fontId="3" fillId="2" borderId="0" xfId="1" applyNumberFormat="1" applyFont="1" applyFill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38" fontId="2" fillId="2" borderId="5" xfId="0" applyNumberFormat="1" applyFont="1" applyFill="1" applyBorder="1" applyAlignment="1">
      <alignment horizontal="right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38" fontId="2" fillId="0" borderId="8" xfId="0" applyNumberFormat="1" applyFont="1" applyBorder="1" applyAlignment="1">
      <alignment horizontal="right"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4" fillId="0" borderId="10" xfId="0" applyFont="1" applyBorder="1" applyAlignment="1">
      <alignment horizontal="right" vertical="top"/>
    </xf>
    <xf numFmtId="0" fontId="4" fillId="0" borderId="11" xfId="0" applyFont="1" applyBorder="1" applyAlignment="1">
      <alignment horizontal="right" vertical="center"/>
    </xf>
    <xf numFmtId="164" fontId="4" fillId="0" borderId="11" xfId="1" applyNumberFormat="1" applyFont="1" applyBorder="1" applyAlignment="1">
      <alignment horizontal="right"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164" fontId="0" fillId="0" borderId="0" xfId="1" applyNumberFormat="1" applyFont="1" applyFill="1" applyAlignment="1">
      <alignment horizontal="right" vertical="center"/>
    </xf>
    <xf numFmtId="165" fontId="3" fillId="0" borderId="0" xfId="1" applyNumberFormat="1" applyFont="1" applyFill="1" applyAlignment="1">
      <alignment horizontal="right" vertical="center"/>
    </xf>
    <xf numFmtId="165" fontId="2" fillId="0" borderId="8" xfId="1" applyNumberFormat="1" applyFont="1" applyFill="1" applyBorder="1" applyAlignment="1">
      <alignment horizontal="right" vertical="center"/>
    </xf>
    <xf numFmtId="165" fontId="0" fillId="0" borderId="0" xfId="1" applyNumberFormat="1" applyFont="1" applyFill="1" applyAlignment="1">
      <alignment horizontal="right" vertical="center"/>
    </xf>
    <xf numFmtId="164" fontId="3" fillId="0" borderId="0" xfId="1" applyNumberFormat="1" applyFont="1" applyFill="1" applyAlignment="1">
      <alignment horizontal="right" vertical="center"/>
    </xf>
    <xf numFmtId="164" fontId="0" fillId="0" borderId="0" xfId="1" applyNumberFormat="1" applyFont="1" applyFill="1" applyAlignment="1">
      <alignment horizontal="center" vertical="center"/>
    </xf>
    <xf numFmtId="38" fontId="2" fillId="0" borderId="5" xfId="0" applyNumberFormat="1" applyFont="1" applyBorder="1" applyAlignment="1">
      <alignment horizontal="right" vertical="center"/>
    </xf>
    <xf numFmtId="164" fontId="2" fillId="0" borderId="5" xfId="1" applyNumberFormat="1" applyFont="1" applyFill="1" applyBorder="1" applyAlignment="1">
      <alignment horizontal="right" vertical="center"/>
    </xf>
    <xf numFmtId="164" fontId="4" fillId="0" borderId="11" xfId="1" applyNumberFormat="1" applyFont="1" applyFill="1" applyBorder="1" applyAlignment="1">
      <alignment horizontal="right" vertical="center"/>
    </xf>
    <xf numFmtId="0" fontId="7" fillId="0" borderId="0" xfId="0" quotePrefix="1" applyFont="1" applyAlignment="1">
      <alignment vertical="top"/>
    </xf>
    <xf numFmtId="0" fontId="2" fillId="0" borderId="0" xfId="0" applyFont="1"/>
    <xf numFmtId="0" fontId="0" fillId="2" borderId="16" xfId="0" applyFill="1" applyBorder="1" applyAlignment="1">
      <alignment horizontal="left" vertical="center"/>
    </xf>
    <xf numFmtId="38" fontId="0" fillId="2" borderId="16" xfId="0" applyNumberFormat="1" applyFill="1" applyBorder="1" applyAlignment="1">
      <alignment horizontal="left" vertical="center"/>
    </xf>
    <xf numFmtId="38" fontId="0" fillId="2" borderId="16" xfId="0" applyNumberFormat="1" applyFill="1" applyBorder="1" applyAlignment="1">
      <alignment horizontal="right" vertical="center"/>
    </xf>
    <xf numFmtId="38" fontId="0" fillId="0" borderId="16" xfId="0" applyNumberFormat="1" applyBorder="1" applyAlignment="1">
      <alignment horizontal="right" vertical="center"/>
    </xf>
    <xf numFmtId="38" fontId="2" fillId="0" borderId="0" xfId="0" applyNumberFormat="1" applyFont="1" applyAlignment="1">
      <alignment horizontal="center" vertical="center" wrapText="1"/>
    </xf>
    <xf numFmtId="166" fontId="0" fillId="2" borderId="16" xfId="1" applyNumberFormat="1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38" fontId="3" fillId="0" borderId="0" xfId="0" quotePrefix="1" applyNumberFormat="1" applyFont="1" applyAlignment="1">
      <alignment horizontal="center" vertical="top"/>
    </xf>
    <xf numFmtId="38" fontId="2" fillId="0" borderId="16" xfId="0" applyNumberFormat="1" applyFont="1" applyBorder="1" applyAlignment="1">
      <alignment horizontal="right" vertical="center"/>
    </xf>
    <xf numFmtId="38" fontId="2" fillId="3" borderId="16" xfId="0" applyNumberFormat="1" applyFont="1" applyFill="1" applyBorder="1" applyAlignment="1">
      <alignment horizontal="right" vertical="center"/>
    </xf>
    <xf numFmtId="0" fontId="9" fillId="4" borderId="13" xfId="0" applyFont="1" applyFill="1" applyBorder="1" applyAlignment="1">
      <alignment vertical="center"/>
    </xf>
    <xf numFmtId="0" fontId="9" fillId="4" borderId="14" xfId="0" applyFont="1" applyFill="1" applyBorder="1" applyAlignment="1">
      <alignment vertical="center"/>
    </xf>
    <xf numFmtId="0" fontId="9" fillId="4" borderId="15" xfId="0" applyFont="1" applyFill="1" applyBorder="1" applyAlignment="1">
      <alignment vertical="center"/>
    </xf>
    <xf numFmtId="0" fontId="9" fillId="4" borderId="14" xfId="0" applyFont="1" applyFill="1" applyBorder="1" applyAlignment="1">
      <alignment horizontal="center" vertical="center"/>
    </xf>
    <xf numFmtId="38" fontId="0" fillId="2" borderId="16" xfId="0" applyNumberFormat="1" applyFill="1" applyBorder="1" applyAlignment="1">
      <alignment horizontal="center" vertical="center"/>
    </xf>
    <xf numFmtId="38" fontId="3" fillId="0" borderId="0" xfId="0" quotePrefix="1" applyNumberFormat="1" applyFont="1" applyAlignment="1">
      <alignment horizontal="right" vertical="top"/>
    </xf>
    <xf numFmtId="38" fontId="0" fillId="2" borderId="17" xfId="0" applyNumberFormat="1" applyFill="1" applyBorder="1" applyAlignment="1">
      <alignment horizontal="right" vertical="center"/>
    </xf>
    <xf numFmtId="38" fontId="0" fillId="0" borderId="17" xfId="0" applyNumberFormat="1" applyBorder="1" applyAlignment="1">
      <alignment horizontal="right" vertical="center"/>
    </xf>
    <xf numFmtId="0" fontId="2" fillId="3" borderId="1" xfId="0" applyFont="1" applyFill="1" applyBorder="1" applyAlignment="1">
      <alignment vertical="center"/>
    </xf>
    <xf numFmtId="38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vertical="center"/>
    </xf>
    <xf numFmtId="0" fontId="10" fillId="0" borderId="0" xfId="0" applyFont="1" applyAlignment="1">
      <alignment horizontal="right" vertical="center"/>
    </xf>
    <xf numFmtId="38" fontId="2" fillId="0" borderId="17" xfId="0" applyNumberFormat="1" applyFont="1" applyBorder="1" applyAlignment="1">
      <alignment horizontal="right" vertical="center"/>
    </xf>
    <xf numFmtId="164" fontId="4" fillId="0" borderId="0" xfId="1" applyNumberFormat="1" applyFont="1" applyFill="1" applyAlignment="1">
      <alignment horizontal="right" vertical="center"/>
    </xf>
    <xf numFmtId="167" fontId="0" fillId="0" borderId="0" xfId="0" applyNumberFormat="1" applyAlignment="1">
      <alignment vertical="center"/>
    </xf>
    <xf numFmtId="38" fontId="11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38" fontId="0" fillId="5" borderId="0" xfId="0" applyNumberFormat="1" applyFill="1" applyAlignment="1">
      <alignment horizontal="right" vertical="center"/>
    </xf>
    <xf numFmtId="3" fontId="0" fillId="0" borderId="0" xfId="0" applyNumberFormat="1" applyAlignment="1">
      <alignment horizontal="center" vertical="center"/>
    </xf>
    <xf numFmtId="38" fontId="0" fillId="0" borderId="0" xfId="0" applyNumberFormat="1" applyAlignment="1">
      <alignment vertical="center"/>
    </xf>
    <xf numFmtId="165" fontId="6" fillId="0" borderId="11" xfId="1" applyNumberFormat="1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165" fontId="5" fillId="0" borderId="0" xfId="1" applyNumberFormat="1" applyFont="1" applyFill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0" fillId="0" borderId="2" xfId="1" applyNumberFormat="1" applyFont="1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 vertical="center"/>
    </xf>
    <xf numFmtId="38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Porcentaje" xfId="1" builtinId="5"/>
  </cellStyles>
  <dxfs count="25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A022A-039A-4993-BB0E-366D861DFA9A}">
  <sheetPr>
    <tabColor theme="7" tint="0.79998168889431442"/>
  </sheetPr>
  <dimension ref="B1:L49"/>
  <sheetViews>
    <sheetView showGridLines="0" tabSelected="1" zoomScale="80" zoomScaleNormal="80" workbookViewId="0">
      <pane ySplit="5" topLeftCell="A6" activePane="bottomLeft" state="frozen"/>
      <selection activeCell="A2" sqref="A2"/>
      <selection pane="bottomLeft" activeCell="D34" sqref="D34"/>
    </sheetView>
  </sheetViews>
  <sheetFormatPr baseColWidth="10" defaultColWidth="9.1640625" defaultRowHeight="20" customHeight="1" outlineLevelCol="1" x14ac:dyDescent="0.2"/>
  <cols>
    <col min="1" max="1" width="3.6640625" style="1" customWidth="1"/>
    <col min="2" max="2" width="20.5" style="1" customWidth="1"/>
    <col min="3" max="3" width="2.33203125" style="1" customWidth="1"/>
    <col min="4" max="4" width="11.6640625" style="4" customWidth="1"/>
    <col min="5" max="5" width="2.33203125" style="1" customWidth="1"/>
    <col min="6" max="6" width="11.6640625" style="4" customWidth="1" outlineLevel="1"/>
    <col min="7" max="7" width="11.6640625" style="4" customWidth="1"/>
    <col min="8" max="8" width="11.6640625" style="5" customWidth="1"/>
    <col min="9" max="9" width="11.6640625" style="4" customWidth="1" outlineLevel="1"/>
    <col min="10" max="10" width="11.6640625" style="4" customWidth="1"/>
    <col min="11" max="11" width="11.6640625" style="5" customWidth="1"/>
    <col min="12" max="16384" width="9.1640625" style="1"/>
  </cols>
  <sheetData>
    <row r="1" spans="2:12" ht="10" customHeight="1" thickBot="1" x14ac:dyDescent="0.25"/>
    <row r="2" spans="2:12" ht="25" customHeight="1" thickTop="1" thickBot="1" x14ac:dyDescent="0.25">
      <c r="B2" s="72" t="s">
        <v>18</v>
      </c>
      <c r="C2" s="73"/>
      <c r="D2" s="73"/>
      <c r="E2" s="73"/>
      <c r="F2" s="73"/>
      <c r="G2" s="73"/>
      <c r="H2" s="73"/>
      <c r="I2" s="73"/>
      <c r="J2" s="73"/>
      <c r="K2" s="73"/>
      <c r="L2" s="74"/>
    </row>
    <row r="3" spans="2:12" ht="10" customHeight="1" thickTop="1" x14ac:dyDescent="0.2"/>
    <row r="4" spans="2:12" ht="20" customHeight="1" x14ac:dyDescent="0.2">
      <c r="B4" s="38" t="s">
        <v>23</v>
      </c>
      <c r="D4" s="2" t="s">
        <v>83</v>
      </c>
      <c r="F4" s="2" t="s">
        <v>71</v>
      </c>
      <c r="G4" s="2" t="s">
        <v>84</v>
      </c>
      <c r="H4" s="2" t="s">
        <v>85</v>
      </c>
      <c r="I4" s="2" t="s">
        <v>67</v>
      </c>
      <c r="J4" s="2" t="s">
        <v>68</v>
      </c>
      <c r="K4" s="2" t="s">
        <v>69</v>
      </c>
    </row>
    <row r="5" spans="2:12" ht="10" customHeight="1" x14ac:dyDescent="0.2"/>
    <row r="6" spans="2:12" ht="10" customHeight="1" thickBot="1" x14ac:dyDescent="0.25"/>
    <row r="7" spans="2:12" ht="20" customHeight="1" thickBot="1" x14ac:dyDescent="0.25">
      <c r="B7" s="14" t="s">
        <v>0</v>
      </c>
      <c r="C7" s="15"/>
      <c r="D7" s="16">
        <v>721</v>
      </c>
      <c r="E7" s="17"/>
      <c r="F7" s="35">
        <v>644</v>
      </c>
      <c r="G7" s="35">
        <f>D7-F7</f>
        <v>77</v>
      </c>
      <c r="H7" s="36">
        <f>IFERROR(G7/F7,0)</f>
        <v>0.11956521739130435</v>
      </c>
      <c r="I7" s="35">
        <v>569</v>
      </c>
      <c r="J7" s="35">
        <f>D7-I7</f>
        <v>152</v>
      </c>
      <c r="K7" s="36">
        <f>IFERROR(J7/I7,0)</f>
        <v>0.26713532513181021</v>
      </c>
      <c r="L7" s="18"/>
    </row>
    <row r="8" spans="2:12" ht="10" customHeight="1" x14ac:dyDescent="0.2">
      <c r="B8" s="6"/>
      <c r="C8" s="6"/>
      <c r="D8" s="10"/>
      <c r="F8" s="10"/>
      <c r="G8" s="10"/>
      <c r="H8" s="29"/>
      <c r="I8" s="10"/>
      <c r="J8" s="10"/>
      <c r="K8" s="29"/>
    </row>
    <row r="9" spans="2:12" ht="20" customHeight="1" x14ac:dyDescent="0.2">
      <c r="B9" s="6" t="s">
        <v>1</v>
      </c>
      <c r="C9" s="6"/>
      <c r="D9" s="11">
        <v>329</v>
      </c>
      <c r="F9" s="10">
        <v>294</v>
      </c>
      <c r="G9" s="10">
        <f>-D9+F9</f>
        <v>-35</v>
      </c>
      <c r="H9" s="32">
        <f>IFERROR(G9/F9,0)</f>
        <v>-0.11904761904761904</v>
      </c>
      <c r="I9" s="10">
        <v>287</v>
      </c>
      <c r="J9" s="10">
        <f>-D9+I9</f>
        <v>-42</v>
      </c>
      <c r="K9" s="32">
        <f>IFERROR(J9/I9,0)</f>
        <v>-0.14634146341463414</v>
      </c>
    </row>
    <row r="10" spans="2:12" s="8" customFormat="1" ht="20" customHeight="1" x14ac:dyDescent="0.2">
      <c r="B10" s="9" t="s">
        <v>2</v>
      </c>
      <c r="C10" s="7"/>
      <c r="D10" s="12">
        <f>IFERROR(D9/D$7,0)</f>
        <v>0.4563106796116505</v>
      </c>
      <c r="F10" s="12">
        <f>IFERROR(F9/F$7,0)</f>
        <v>0.45652173913043476</v>
      </c>
      <c r="G10" s="75" t="str">
        <f>ROUND((-D10+F10)*100,1)&amp;" p.p."</f>
        <v>0 p.p.</v>
      </c>
      <c r="H10" s="75"/>
      <c r="I10" s="33">
        <v>0.505</v>
      </c>
      <c r="J10" s="75" t="str">
        <f>ROUND((-D10+I10)*100,1)&amp;" p.p."</f>
        <v>4,9 p.p.</v>
      </c>
      <c r="K10" s="75"/>
    </row>
    <row r="11" spans="2:12" ht="20" customHeight="1" x14ac:dyDescent="0.2">
      <c r="B11" s="6" t="s">
        <v>3</v>
      </c>
      <c r="C11" s="6"/>
      <c r="D11" s="11"/>
      <c r="F11" s="10">
        <v>0</v>
      </c>
      <c r="G11" s="10">
        <f>-D11+F11</f>
        <v>0</v>
      </c>
      <c r="H11" s="32">
        <f t="shared" ref="H11:H12" si="0">IFERROR(G11/F11,0)</f>
        <v>0</v>
      </c>
      <c r="I11" s="10">
        <v>-15</v>
      </c>
      <c r="J11" s="10">
        <f>-D11+I11</f>
        <v>-15</v>
      </c>
      <c r="K11" s="32">
        <f t="shared" ref="K11:K12" si="1">IFERROR(J11/I11,0)</f>
        <v>1</v>
      </c>
    </row>
    <row r="12" spans="2:12" ht="20" customHeight="1" x14ac:dyDescent="0.2">
      <c r="B12" s="6" t="s">
        <v>4</v>
      </c>
      <c r="C12" s="6"/>
      <c r="D12" s="11">
        <v>69</v>
      </c>
      <c r="F12" s="10">
        <v>62</v>
      </c>
      <c r="G12" s="10">
        <f>-D12+F12</f>
        <v>-7</v>
      </c>
      <c r="H12" s="32">
        <f t="shared" si="0"/>
        <v>-0.11290322580645161</v>
      </c>
      <c r="I12" s="10">
        <v>49</v>
      </c>
      <c r="J12" s="10">
        <f>-D12+I12</f>
        <v>-20</v>
      </c>
      <c r="K12" s="32">
        <f t="shared" si="1"/>
        <v>-0.40816326530612246</v>
      </c>
    </row>
    <row r="13" spans="2:12" ht="10" customHeight="1" x14ac:dyDescent="0.2">
      <c r="B13" s="6"/>
      <c r="C13" s="6"/>
      <c r="D13" s="10"/>
      <c r="F13" s="10"/>
      <c r="G13" s="10"/>
      <c r="H13" s="29"/>
      <c r="I13" s="10"/>
      <c r="J13" s="10"/>
      <c r="K13" s="29"/>
    </row>
    <row r="14" spans="2:12" ht="20" customHeight="1" x14ac:dyDescent="0.2">
      <c r="B14" s="6" t="s">
        <v>5</v>
      </c>
      <c r="C14" s="6"/>
      <c r="D14" s="10">
        <f>SUM(D9,D11:D12)</f>
        <v>398</v>
      </c>
      <c r="F14" s="10">
        <f>SUM(F9,F11:F12)</f>
        <v>356</v>
      </c>
      <c r="G14" s="10">
        <f>-D14+F14</f>
        <v>-42</v>
      </c>
      <c r="H14" s="32">
        <f>IFERROR(G14/F14,0)</f>
        <v>-0.11797752808988764</v>
      </c>
      <c r="I14" s="10">
        <v>320</v>
      </c>
      <c r="J14" s="10">
        <f>-D14+I14</f>
        <v>-78</v>
      </c>
      <c r="K14" s="32">
        <f>IFERROR(J14/I14,0)</f>
        <v>-0.24374999999999999</v>
      </c>
    </row>
    <row r="15" spans="2:12" s="8" customFormat="1" ht="14" x14ac:dyDescent="0.2">
      <c r="B15" s="9" t="s">
        <v>2</v>
      </c>
      <c r="C15" s="7"/>
      <c r="D15" s="12">
        <f>IFERROR(D14/D$7,0)</f>
        <v>0.55201109570041607</v>
      </c>
      <c r="F15" s="12">
        <f>IFERROR(F14/F$7,0)</f>
        <v>0.55279503105590067</v>
      </c>
      <c r="G15" s="75" t="str">
        <f>ROUND((-D15+F15)*100,1)&amp;" p.p."</f>
        <v>0,1 p.p.</v>
      </c>
      <c r="H15" s="75"/>
      <c r="I15" s="33">
        <v>0.56299999999999994</v>
      </c>
      <c r="J15" s="75" t="str">
        <f>ROUND((-D15+I15)*100,1)&amp;" p.p."</f>
        <v>1,1 p.p.</v>
      </c>
      <c r="K15" s="75"/>
    </row>
    <row r="16" spans="2:12" ht="10" customHeight="1" x14ac:dyDescent="0.2">
      <c r="B16" s="6"/>
      <c r="C16" s="6"/>
      <c r="D16" s="10"/>
      <c r="F16" s="10"/>
      <c r="G16" s="10"/>
      <c r="H16" s="29"/>
      <c r="I16" s="10"/>
      <c r="J16" s="10"/>
      <c r="K16" s="29"/>
    </row>
    <row r="17" spans="2:12" ht="20" customHeight="1" x14ac:dyDescent="0.2">
      <c r="B17" s="6" t="s">
        <v>6</v>
      </c>
      <c r="C17" s="6"/>
      <c r="D17" s="11">
        <v>32.4</v>
      </c>
      <c r="F17" s="10">
        <v>32</v>
      </c>
      <c r="G17" s="10">
        <f>-D17+F17</f>
        <v>-0.39999999999999858</v>
      </c>
      <c r="H17" s="32">
        <f>IFERROR(G17/F17,0)</f>
        <v>-1.2499999999999956E-2</v>
      </c>
      <c r="I17" s="10">
        <v>29</v>
      </c>
      <c r="J17" s="10">
        <f>-D17+I17</f>
        <v>-3.3999999999999986</v>
      </c>
      <c r="K17" s="32">
        <f>IFERROR(J17/I17,0)</f>
        <v>-0.11724137931034478</v>
      </c>
    </row>
    <row r="18" spans="2:12" s="8" customFormat="1" ht="14" x14ac:dyDescent="0.2">
      <c r="B18" s="9" t="s">
        <v>2</v>
      </c>
      <c r="C18" s="7"/>
      <c r="D18" s="12">
        <f>IFERROR(D17/D$7,0)</f>
        <v>4.49375866851595E-2</v>
      </c>
      <c r="F18" s="33">
        <f>IFERROR(F17/F$7,0)</f>
        <v>4.9689440993788817E-2</v>
      </c>
      <c r="G18" s="75" t="str">
        <f>ROUND((-D18+F18)*100,1)&amp;" p.p."</f>
        <v>0,5 p.p.</v>
      </c>
      <c r="H18" s="75"/>
      <c r="I18" s="33">
        <f>IFERROR(I17/I$7,0)</f>
        <v>5.0966608084358524E-2</v>
      </c>
      <c r="J18" s="75" t="str">
        <f>ROUND((-D18+I18)*100,1)&amp;" p.p."</f>
        <v>0,6 p.p.</v>
      </c>
      <c r="K18" s="75"/>
    </row>
    <row r="19" spans="2:12" ht="10" customHeight="1" x14ac:dyDescent="0.2">
      <c r="B19" s="6"/>
      <c r="C19" s="6"/>
      <c r="D19" s="10"/>
      <c r="F19" s="10"/>
      <c r="G19" s="10"/>
      <c r="H19" s="29"/>
      <c r="I19" s="10"/>
      <c r="J19" s="10"/>
      <c r="K19" s="29"/>
    </row>
    <row r="20" spans="2:12" ht="20" customHeight="1" x14ac:dyDescent="0.2">
      <c r="B20" s="6" t="s">
        <v>7</v>
      </c>
      <c r="C20" s="6"/>
      <c r="D20" s="11">
        <v>11.49</v>
      </c>
      <c r="F20" s="10">
        <v>9</v>
      </c>
      <c r="G20" s="10">
        <f>-D20+F20</f>
        <v>-2.4900000000000002</v>
      </c>
      <c r="H20" s="32">
        <f>IFERROR(G20/F20,0)</f>
        <v>-0.27666666666666667</v>
      </c>
      <c r="I20" s="10">
        <v>4</v>
      </c>
      <c r="J20" s="10">
        <f t="shared" ref="J20:J22" si="2">-D20+I20</f>
        <v>-7.49</v>
      </c>
      <c r="K20" s="32">
        <f>IFERROR(J20/I20,0)</f>
        <v>-1.8725000000000001</v>
      </c>
    </row>
    <row r="21" spans="2:12" ht="20" customHeight="1" x14ac:dyDescent="0.2">
      <c r="B21" s="6" t="s">
        <v>8</v>
      </c>
      <c r="C21" s="6"/>
      <c r="D21" s="11">
        <v>68</v>
      </c>
      <c r="F21" s="10">
        <v>68</v>
      </c>
      <c r="G21" s="10">
        <f>-D21+F21</f>
        <v>0</v>
      </c>
      <c r="H21" s="32">
        <f>IFERROR(G21/F21,0)</f>
        <v>0</v>
      </c>
      <c r="I21" s="10">
        <v>60</v>
      </c>
      <c r="J21" s="10">
        <f t="shared" si="2"/>
        <v>-8</v>
      </c>
      <c r="K21" s="32">
        <f>IFERROR(J21/I21,0)</f>
        <v>-0.13333333333333333</v>
      </c>
    </row>
    <row r="22" spans="2:12" ht="20" customHeight="1" x14ac:dyDescent="0.2">
      <c r="B22" s="6" t="s">
        <v>9</v>
      </c>
      <c r="C22" s="6"/>
      <c r="D22" s="11">
        <v>60</v>
      </c>
      <c r="F22" s="10">
        <v>48</v>
      </c>
      <c r="G22" s="10">
        <f>-D22+F22</f>
        <v>-12</v>
      </c>
      <c r="H22" s="32">
        <f>IFERROR(G22/F22,0)</f>
        <v>-0.25</v>
      </c>
      <c r="I22" s="10">
        <v>46</v>
      </c>
      <c r="J22" s="10">
        <f t="shared" si="2"/>
        <v>-14</v>
      </c>
      <c r="K22" s="32">
        <f>IFERROR(J22/I22,0)</f>
        <v>-0.30434782608695654</v>
      </c>
    </row>
    <row r="23" spans="2:12" ht="20" customHeight="1" x14ac:dyDescent="0.2">
      <c r="B23" s="6" t="s">
        <v>17</v>
      </c>
      <c r="C23" s="10"/>
      <c r="D23" s="10">
        <f>SUM(D20:D22)</f>
        <v>139.49</v>
      </c>
      <c r="F23" s="10">
        <f>SUM(F20:F22)</f>
        <v>125</v>
      </c>
      <c r="G23" s="10">
        <f>SUM(G20:G22)</f>
        <v>-14.49</v>
      </c>
      <c r="H23" s="32">
        <f>IFERROR(G23/F23,0)</f>
        <v>-0.11592</v>
      </c>
      <c r="I23" s="10">
        <v>109</v>
      </c>
      <c r="J23" s="10">
        <f>SUM(J20:J22)</f>
        <v>-29.490000000000002</v>
      </c>
      <c r="K23" s="32">
        <f>IFERROR(J23/I23,0)</f>
        <v>-0.27055045871559635</v>
      </c>
    </row>
    <row r="24" spans="2:12" s="8" customFormat="1" ht="14" x14ac:dyDescent="0.2">
      <c r="B24" s="9" t="s">
        <v>2</v>
      </c>
      <c r="C24" s="7"/>
      <c r="D24" s="12">
        <f>IFERROR(D23/D$7,0)</f>
        <v>0.19346740638002774</v>
      </c>
      <c r="F24" s="12">
        <f>IFERROR(F23/F$7,0)</f>
        <v>0.19409937888198758</v>
      </c>
      <c r="G24" s="75" t="str">
        <f>ROUND((-D24+F24)*100,1)&amp;" p.p."</f>
        <v>0,1 p.p.</v>
      </c>
      <c r="H24" s="75"/>
      <c r="I24" s="33">
        <f>IFERROR(I23/I$7,0)</f>
        <v>0.19156414762741653</v>
      </c>
      <c r="J24" s="75" t="str">
        <f>ROUND((-D24+I24)*100,1)&amp;" p.p."</f>
        <v>-0,2 p.p.</v>
      </c>
      <c r="K24" s="75"/>
    </row>
    <row r="25" spans="2:12" ht="10" customHeight="1" thickBot="1" x14ac:dyDescent="0.25">
      <c r="B25" s="6"/>
      <c r="C25" s="6"/>
      <c r="D25" s="10"/>
      <c r="F25" s="10"/>
      <c r="G25" s="10"/>
      <c r="H25" s="29"/>
      <c r="I25" s="10"/>
      <c r="J25" s="10"/>
      <c r="K25" s="29"/>
    </row>
    <row r="26" spans="2:12" ht="20" customHeight="1" x14ac:dyDescent="0.2">
      <c r="B26" s="19" t="s">
        <v>10</v>
      </c>
      <c r="C26" s="20"/>
      <c r="D26" s="21">
        <f>SUM(D7,-D14,-D17,-D23)</f>
        <v>151.11000000000001</v>
      </c>
      <c r="E26" s="22"/>
      <c r="F26" s="21">
        <f>SUM(F7,-F14,-F17,-F23)</f>
        <v>131</v>
      </c>
      <c r="G26" s="21">
        <f>SUM(G7,G14,G17,G23)</f>
        <v>20.11</v>
      </c>
      <c r="H26" s="31">
        <f>IFERROR(G26/F26,0)</f>
        <v>0.15351145038167938</v>
      </c>
      <c r="I26" s="21">
        <v>109</v>
      </c>
      <c r="J26" s="21">
        <f>SUM(J7,J14,J17,J23)</f>
        <v>41.109999999999992</v>
      </c>
      <c r="K26" s="31">
        <f>IFERROR(J26/I26,0)</f>
        <v>0.37715596330275225</v>
      </c>
      <c r="L26" s="23"/>
    </row>
    <row r="27" spans="2:12" s="8" customFormat="1" ht="20" customHeight="1" thickBot="1" x14ac:dyDescent="0.25">
      <c r="B27" s="24" t="s">
        <v>11</v>
      </c>
      <c r="C27" s="25"/>
      <c r="D27" s="26">
        <f>IFERROR(D26/D$7,0)</f>
        <v>0.20958391123439668</v>
      </c>
      <c r="E27" s="27"/>
      <c r="F27" s="37">
        <f>IFERROR(F26/F$7,0)</f>
        <v>0.20341614906832298</v>
      </c>
      <c r="G27" s="71" t="str">
        <f>ROUND((D27-F27)*100,1)&amp;" p.p."</f>
        <v>0,6 p.p.</v>
      </c>
      <c r="H27" s="71"/>
      <c r="I27" s="37">
        <f>IFERROR(I26/I$7,0)</f>
        <v>0.19156414762741653</v>
      </c>
      <c r="J27" s="71" t="str">
        <f>ROUND((D27-I27)*100,1)&amp;" p.p."</f>
        <v>1,8 p.p.</v>
      </c>
      <c r="K27" s="71"/>
      <c r="L27" s="28"/>
    </row>
    <row r="28" spans="2:12" ht="10" customHeight="1" x14ac:dyDescent="0.2">
      <c r="B28" s="6"/>
      <c r="C28" s="6"/>
      <c r="D28" s="10"/>
      <c r="F28" s="10"/>
      <c r="G28" s="10"/>
      <c r="H28" s="29"/>
      <c r="I28" s="10"/>
      <c r="J28" s="10"/>
      <c r="K28" s="29"/>
    </row>
    <row r="29" spans="2:12" ht="20" customHeight="1" x14ac:dyDescent="0.2">
      <c r="B29" s="6" t="s">
        <v>12</v>
      </c>
      <c r="C29" s="6"/>
      <c r="D29" s="11">
        <v>11</v>
      </c>
      <c r="F29" s="10">
        <v>8</v>
      </c>
      <c r="G29" s="10">
        <f>-D29+F29</f>
        <v>-3</v>
      </c>
      <c r="H29" s="32">
        <f>IFERROR(G29/F29,0)</f>
        <v>-0.375</v>
      </c>
      <c r="I29" s="10">
        <v>8</v>
      </c>
      <c r="J29" s="10">
        <f>-D29+I29</f>
        <v>-3</v>
      </c>
      <c r="K29" s="32">
        <f>IFERROR(J29/I29,0)</f>
        <v>-0.375</v>
      </c>
    </row>
    <row r="30" spans="2:12" ht="10" customHeight="1" x14ac:dyDescent="0.2">
      <c r="B30" s="6"/>
      <c r="C30" s="6"/>
      <c r="D30" s="10"/>
      <c r="F30" s="10"/>
      <c r="G30" s="10"/>
      <c r="H30" s="29"/>
      <c r="I30" s="10"/>
      <c r="J30" s="10"/>
      <c r="K30" s="29"/>
    </row>
    <row r="31" spans="2:12" ht="20" customHeight="1" x14ac:dyDescent="0.2">
      <c r="B31" s="6" t="s">
        <v>13</v>
      </c>
      <c r="C31" s="6"/>
      <c r="D31" s="11">
        <v>39</v>
      </c>
      <c r="F31" s="10">
        <v>64</v>
      </c>
      <c r="G31" s="10">
        <f>-D31+F31</f>
        <v>25</v>
      </c>
      <c r="H31" s="32">
        <f>IFERROR(G31/F31,0)</f>
        <v>0.390625</v>
      </c>
      <c r="I31" s="10"/>
      <c r="J31" s="10"/>
      <c r="K31" s="32"/>
    </row>
    <row r="32" spans="2:12" s="8" customFormat="1" ht="15" x14ac:dyDescent="0.2">
      <c r="B32" s="9" t="s">
        <v>14</v>
      </c>
      <c r="C32" s="7"/>
      <c r="D32" s="13">
        <f>D31/D7</f>
        <v>5.4091539528432729E-2</v>
      </c>
      <c r="F32" s="13">
        <f>F31/F7</f>
        <v>9.9378881987577633E-2</v>
      </c>
      <c r="G32" s="75" t="str">
        <f>ROUND((-D32+F32)*100,1)&amp;" p.p."</f>
        <v>4,5 p.p.</v>
      </c>
      <c r="H32" s="75"/>
      <c r="I32" s="10"/>
      <c r="J32" s="30"/>
      <c r="K32" s="30"/>
    </row>
    <row r="33" spans="2:12" ht="10" customHeight="1" x14ac:dyDescent="0.2">
      <c r="B33" s="6"/>
      <c r="C33" s="6"/>
      <c r="D33" s="10"/>
      <c r="F33" s="10"/>
      <c r="G33" s="10"/>
      <c r="H33" s="29"/>
      <c r="I33" s="10"/>
      <c r="J33" s="10"/>
      <c r="K33" s="29"/>
    </row>
    <row r="34" spans="2:12" ht="20" customHeight="1" x14ac:dyDescent="0.2">
      <c r="B34" s="6" t="s">
        <v>16</v>
      </c>
      <c r="C34" s="6"/>
      <c r="D34" s="11">
        <f>Pipeline!H7/1000</f>
        <v>136.80000000000001</v>
      </c>
      <c r="F34" s="10"/>
      <c r="G34" s="10"/>
      <c r="H34" s="29"/>
      <c r="I34" s="10"/>
      <c r="J34" s="10"/>
      <c r="K34" s="29"/>
    </row>
    <row r="35" spans="2:12" s="8" customFormat="1" ht="15" x14ac:dyDescent="0.2">
      <c r="B35" s="9" t="s">
        <v>15</v>
      </c>
      <c r="C35" s="7"/>
      <c r="D35" s="12">
        <f>IFERROR(D34/D$31,0)</f>
        <v>3.5076923076923081</v>
      </c>
      <c r="F35" s="10"/>
      <c r="G35" s="10"/>
      <c r="H35" s="29"/>
      <c r="I35" s="10"/>
      <c r="J35" s="10"/>
      <c r="K35" s="29"/>
      <c r="L35" s="1"/>
    </row>
    <row r="36" spans="2:12" ht="10" customHeight="1" x14ac:dyDescent="0.2">
      <c r="B36" s="6"/>
      <c r="C36" s="6"/>
      <c r="D36" s="10"/>
      <c r="F36" s="10"/>
      <c r="G36" s="10"/>
      <c r="H36" s="29"/>
      <c r="I36" s="10"/>
      <c r="J36" s="10"/>
      <c r="K36" s="29"/>
    </row>
    <row r="37" spans="2:12" ht="20" customHeight="1" x14ac:dyDescent="0.2">
      <c r="B37" s="6" t="s">
        <v>22</v>
      </c>
      <c r="C37" s="6"/>
      <c r="D37" s="11">
        <f>Pipeline!K7/1000</f>
        <v>48.64</v>
      </c>
      <c r="F37" s="10"/>
      <c r="G37" s="10"/>
      <c r="H37" s="29"/>
      <c r="I37" s="10"/>
      <c r="J37" s="10"/>
      <c r="K37" s="29"/>
    </row>
    <row r="38" spans="2:12" s="8" customFormat="1" ht="15" x14ac:dyDescent="0.2">
      <c r="B38" s="9" t="s">
        <v>15</v>
      </c>
      <c r="C38" s="7"/>
      <c r="D38" s="12">
        <f>IFERROR(D37/D$31,0)</f>
        <v>1.2471794871794872</v>
      </c>
      <c r="F38" s="10"/>
      <c r="G38" s="10"/>
      <c r="H38" s="29"/>
      <c r="I38" s="10"/>
      <c r="J38" s="10"/>
      <c r="K38" s="29"/>
      <c r="L38" s="1"/>
    </row>
    <row r="39" spans="2:12" ht="20" customHeight="1" x14ac:dyDescent="0.2">
      <c r="B39" s="6"/>
      <c r="H39" s="34"/>
      <c r="I39" s="10"/>
      <c r="K39" s="34"/>
    </row>
    <row r="40" spans="2:12" ht="20" customHeight="1" x14ac:dyDescent="0.2">
      <c r="B40" s="6"/>
      <c r="H40" s="34"/>
      <c r="I40" s="10"/>
      <c r="K40" s="34"/>
    </row>
    <row r="41" spans="2:12" ht="20" customHeight="1" x14ac:dyDescent="0.2">
      <c r="I41" s="10"/>
    </row>
    <row r="42" spans="2:12" ht="20" customHeight="1" x14ac:dyDescent="0.2">
      <c r="B42" s="67" t="s">
        <v>64</v>
      </c>
    </row>
    <row r="43" spans="2:12" ht="20" customHeight="1" x14ac:dyDescent="0.2">
      <c r="B43" s="6" t="s">
        <v>65</v>
      </c>
      <c r="D43" s="68"/>
      <c r="F43" s="10">
        <v>0</v>
      </c>
      <c r="G43" s="10">
        <f>-F43+D43</f>
        <v>0</v>
      </c>
      <c r="H43" s="32">
        <f>-IFERROR(G43/F43,0)</f>
        <v>0</v>
      </c>
    </row>
    <row r="44" spans="2:12" ht="20" customHeight="1" x14ac:dyDescent="0.2">
      <c r="B44" s="6" t="s">
        <v>66</v>
      </c>
      <c r="D44" s="68"/>
      <c r="F44" s="10">
        <v>0</v>
      </c>
      <c r="G44" s="10">
        <f>-F44+D44</f>
        <v>0</v>
      </c>
      <c r="H44" s="32">
        <f>-IFERROR(G44/F44,0)</f>
        <v>0</v>
      </c>
    </row>
    <row r="49" spans="7:10" ht="20" customHeight="1" x14ac:dyDescent="0.2">
      <c r="G49" s="10"/>
      <c r="J49" s="10"/>
    </row>
  </sheetData>
  <mergeCells count="12">
    <mergeCell ref="G32:H32"/>
    <mergeCell ref="G27:H27"/>
    <mergeCell ref="G10:H10"/>
    <mergeCell ref="G15:H15"/>
    <mergeCell ref="G18:H18"/>
    <mergeCell ref="G24:H24"/>
    <mergeCell ref="J27:K27"/>
    <mergeCell ref="B2:L2"/>
    <mergeCell ref="J10:K10"/>
    <mergeCell ref="J15:K15"/>
    <mergeCell ref="J18:K18"/>
    <mergeCell ref="J24:K24"/>
  </mergeCells>
  <conditionalFormatting sqref="G7:H7 G9:H9 G11:H12 G14:H14 G17:H17 G20:H23 G29:H29">
    <cfRule type="cellIs" dxfId="18" priority="14" operator="lessThan">
      <formula>0</formula>
    </cfRule>
    <cfRule type="cellIs" dxfId="17" priority="15" operator="greaterThan">
      <formula>0</formula>
    </cfRule>
  </conditionalFormatting>
  <conditionalFormatting sqref="G26:H26">
    <cfRule type="cellIs" dxfId="16" priority="12" operator="lessThan">
      <formula>0</formula>
    </cfRule>
    <cfRule type="cellIs" dxfId="15" priority="13" operator="greaterThan">
      <formula>0</formula>
    </cfRule>
  </conditionalFormatting>
  <conditionalFormatting sqref="G31:H31">
    <cfRule type="cellIs" dxfId="14" priority="10" operator="lessThan">
      <formula>0</formula>
    </cfRule>
    <cfRule type="cellIs" dxfId="13" priority="11" operator="greaterThan">
      <formula>0</formula>
    </cfRule>
  </conditionalFormatting>
  <conditionalFormatting sqref="G43:H44">
    <cfRule type="cellIs" dxfId="12" priority="7" operator="lessThan">
      <formula>0</formula>
    </cfRule>
    <cfRule type="cellIs" dxfId="11" priority="8" operator="greaterThan">
      <formula>0</formula>
    </cfRule>
  </conditionalFormatting>
  <conditionalFormatting sqref="J7:K7 J9:K9 J11:K12 J14:K14 J17:K17 J20:K23 J29:K29">
    <cfRule type="cellIs" dxfId="5" priority="23" operator="lessThan">
      <formula>0</formula>
    </cfRule>
    <cfRule type="cellIs" dxfId="4" priority="24" operator="greaterThan">
      <formula>0</formula>
    </cfRule>
  </conditionalFormatting>
  <conditionalFormatting sqref="J26:K26">
    <cfRule type="cellIs" dxfId="3" priority="21" operator="lessThan">
      <formula>0</formula>
    </cfRule>
    <cfRule type="cellIs" dxfId="2" priority="22" operator="greaterThan">
      <formula>0</formula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0" operator="containsText" id="{03D48B7F-A3C1-4DBB-BB04-3BED1473820F}">
            <xm:f>NOT(ISERROR(SEARCH("-",G10)))</xm:f>
            <xm:f>"-"</xm:f>
            <x14:dxf>
              <font>
                <color rgb="FFFF0000"/>
              </font>
            </x14:dxf>
          </x14:cfRule>
          <xm:sqref>G10</xm:sqref>
        </x14:conditionalFormatting>
        <x14:conditionalFormatting xmlns:xm="http://schemas.microsoft.com/office/excel/2006/main">
          <x14:cfRule type="containsText" priority="19" operator="containsText" id="{D0BC0ADE-2A32-45F4-B269-F806707C4B55}">
            <xm:f>NOT(ISERROR(SEARCH("-",G15)))</xm:f>
            <xm:f>"-"</xm:f>
            <x14:dxf>
              <font>
                <color rgb="FFFF0000"/>
              </font>
            </x14:dxf>
          </x14:cfRule>
          <xm:sqref>G15</xm:sqref>
        </x14:conditionalFormatting>
        <x14:conditionalFormatting xmlns:xm="http://schemas.microsoft.com/office/excel/2006/main">
          <x14:cfRule type="containsText" priority="18" operator="containsText" id="{1617D0F0-DA5A-4FBD-A32F-C6612C173D3B}">
            <xm:f>NOT(ISERROR(SEARCH("-",G18)))</xm:f>
            <xm:f>"-"</xm:f>
            <x14:dxf>
              <font>
                <color rgb="FFFF0000"/>
              </font>
            </x14:dxf>
          </x14:cfRule>
          <xm:sqref>G18</xm:sqref>
        </x14:conditionalFormatting>
        <x14:conditionalFormatting xmlns:xm="http://schemas.microsoft.com/office/excel/2006/main">
          <x14:cfRule type="containsText" priority="17" operator="containsText" id="{DA3528E0-051D-401F-84B7-E6852A995295}">
            <xm:f>NOT(ISERROR(SEARCH("-",G24)))</xm:f>
            <xm:f>"-"</xm:f>
            <x14:dxf>
              <font>
                <color rgb="FFFF0000"/>
              </font>
            </x14:dxf>
          </x14:cfRule>
          <xm:sqref>G24</xm:sqref>
        </x14:conditionalFormatting>
        <x14:conditionalFormatting xmlns:xm="http://schemas.microsoft.com/office/excel/2006/main">
          <x14:cfRule type="containsText" priority="16" operator="containsText" id="{681508D5-06F0-4BF4-9847-E27FD669219B}">
            <xm:f>NOT(ISERROR(SEARCH("-",G27)))</xm:f>
            <xm:f>"-"</xm:f>
            <x14:dxf>
              <font>
                <color rgb="FFFF0000"/>
              </font>
            </x14:dxf>
          </x14:cfRule>
          <xm:sqref>G27</xm:sqref>
        </x14:conditionalFormatting>
        <x14:conditionalFormatting xmlns:xm="http://schemas.microsoft.com/office/excel/2006/main">
          <x14:cfRule type="containsText" priority="9" operator="containsText" id="{89A62D74-89FC-4FF0-B180-639948FB23CB}">
            <xm:f>NOT(ISERROR(SEARCH("-",G32)))</xm:f>
            <xm:f>"-"</xm:f>
            <x14:dxf>
              <font>
                <color rgb="FFFF0000"/>
              </font>
            </x14:dxf>
          </x14:cfRule>
          <xm:sqref>G32</xm:sqref>
        </x14:conditionalFormatting>
        <x14:conditionalFormatting xmlns:xm="http://schemas.microsoft.com/office/excel/2006/main">
          <x14:cfRule type="containsText" priority="29" operator="containsText" id="{F49610F2-4E29-40AC-8C1F-F2CB4FA0E289}">
            <xm:f>NOT(ISERROR(SEARCH("-",J10)))</xm:f>
            <xm:f>"-"</xm:f>
            <x14:dxf>
              <font>
                <color rgb="FFFF0000"/>
              </font>
            </x14:dxf>
          </x14:cfRule>
          <xm:sqref>J10</xm:sqref>
        </x14:conditionalFormatting>
        <x14:conditionalFormatting xmlns:xm="http://schemas.microsoft.com/office/excel/2006/main">
          <x14:cfRule type="containsText" priority="28" operator="containsText" id="{B7296641-273D-489F-8A7F-4AE9A5F564B7}">
            <xm:f>NOT(ISERROR(SEARCH("-",J15)))</xm:f>
            <xm:f>"-"</xm:f>
            <x14:dxf>
              <font>
                <color rgb="FFFF0000"/>
              </font>
            </x14:dxf>
          </x14:cfRule>
          <xm:sqref>J15</xm:sqref>
        </x14:conditionalFormatting>
        <x14:conditionalFormatting xmlns:xm="http://schemas.microsoft.com/office/excel/2006/main">
          <x14:cfRule type="containsText" priority="27" operator="containsText" id="{7F0AFCFA-F911-47C8-B286-BD43F9BB407E}">
            <xm:f>NOT(ISERROR(SEARCH("-",J18)))</xm:f>
            <xm:f>"-"</xm:f>
            <x14:dxf>
              <font>
                <color rgb="FFFF0000"/>
              </font>
            </x14:dxf>
          </x14:cfRule>
          <xm:sqref>J18</xm:sqref>
        </x14:conditionalFormatting>
        <x14:conditionalFormatting xmlns:xm="http://schemas.microsoft.com/office/excel/2006/main">
          <x14:cfRule type="containsText" priority="26" operator="containsText" id="{9E2E4A9A-40E8-457E-9183-6EAE81901E13}">
            <xm:f>NOT(ISERROR(SEARCH("-",J24)))</xm:f>
            <xm:f>"-"</xm:f>
            <x14:dxf>
              <font>
                <color rgb="FFFF0000"/>
              </font>
            </x14:dxf>
          </x14:cfRule>
          <xm:sqref>J24</xm:sqref>
        </x14:conditionalFormatting>
        <x14:conditionalFormatting xmlns:xm="http://schemas.microsoft.com/office/excel/2006/main">
          <x14:cfRule type="containsText" priority="25" operator="containsText" id="{E9DFB790-35BE-4D2C-BCD2-D585CF6CDD4C}">
            <xm:f>NOT(ISERROR(SEARCH("-",J27)))</xm:f>
            <xm:f>"-"</xm:f>
            <x14:dxf>
              <font>
                <color rgb="FFFF0000"/>
              </font>
            </x14:dxf>
          </x14:cfRule>
          <xm:sqref>J27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50321-5F34-4EA1-B0F0-1C53D9EAE1CC}">
  <dimension ref="B1:Q44"/>
  <sheetViews>
    <sheetView showGridLines="0" zoomScale="80" zoomScaleNormal="80" workbookViewId="0">
      <pane ySplit="5" topLeftCell="A12" activePane="bottomLeft" state="frozen"/>
      <selection activeCell="A2" sqref="A2"/>
      <selection pane="bottomLeft" activeCell="C32" sqref="C32:R46"/>
    </sheetView>
  </sheetViews>
  <sheetFormatPr baseColWidth="10" defaultColWidth="9.1640625" defaultRowHeight="15" x14ac:dyDescent="0.2"/>
  <cols>
    <col min="1" max="1" width="3.6640625" style="1" customWidth="1"/>
    <col min="2" max="2" width="20.5" style="1" customWidth="1"/>
    <col min="3" max="8" width="14.6640625" style="4" customWidth="1"/>
    <col min="9" max="14" width="14.6640625" style="5" customWidth="1"/>
    <col min="15" max="15" width="14.6640625" style="1" customWidth="1"/>
    <col min="16" max="16" width="14.33203125" style="1" customWidth="1"/>
    <col min="17" max="24" width="9.1640625" style="1"/>
    <col min="25" max="25" width="3.6640625" style="1" customWidth="1"/>
    <col min="26" max="33" width="9.1640625" style="1"/>
    <col min="34" max="34" width="3.6640625" style="1" customWidth="1"/>
    <col min="35" max="16384" width="9.1640625" style="1"/>
  </cols>
  <sheetData>
    <row r="1" spans="2:16" ht="16" thickBot="1" x14ac:dyDescent="0.25"/>
    <row r="2" spans="2:16" ht="17" thickTop="1" thickBot="1" x14ac:dyDescent="0.25">
      <c r="B2" s="50" t="s">
        <v>18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2"/>
    </row>
    <row r="3" spans="2:16" ht="16" thickTop="1" x14ac:dyDescent="0.2">
      <c r="O3" s="55" t="s">
        <v>23</v>
      </c>
    </row>
    <row r="4" spans="2:16" ht="16" x14ac:dyDescent="0.2">
      <c r="B4" s="2"/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 t="s">
        <v>55</v>
      </c>
      <c r="L4" s="2" t="s">
        <v>56</v>
      </c>
      <c r="M4" s="2" t="s">
        <v>57</v>
      </c>
      <c r="N4" s="2" t="s">
        <v>58</v>
      </c>
      <c r="O4" s="44" t="s">
        <v>59</v>
      </c>
    </row>
    <row r="5" spans="2:16" ht="5" customHeight="1" x14ac:dyDescent="0.2"/>
    <row r="6" spans="2:16" ht="5" customHeight="1" x14ac:dyDescent="0.2"/>
    <row r="7" spans="2:16" x14ac:dyDescent="0.2">
      <c r="B7" s="58" t="s">
        <v>72</v>
      </c>
      <c r="C7" s="59"/>
      <c r="D7" s="59"/>
      <c r="E7" s="59"/>
      <c r="F7" s="59"/>
      <c r="G7" s="59"/>
      <c r="H7" s="59"/>
      <c r="I7" s="60"/>
      <c r="J7" s="60"/>
      <c r="K7" s="60"/>
      <c r="L7" s="60"/>
      <c r="M7" s="60"/>
      <c r="N7" s="60"/>
      <c r="O7" s="61"/>
    </row>
    <row r="8" spans="2:16" x14ac:dyDescent="0.2">
      <c r="B8" s="6" t="s">
        <v>60</v>
      </c>
      <c r="C8" s="56">
        <v>49</v>
      </c>
      <c r="D8" s="56">
        <v>55</v>
      </c>
      <c r="E8" s="56">
        <v>41</v>
      </c>
      <c r="F8" s="56">
        <v>62</v>
      </c>
      <c r="G8" s="56">
        <v>53</v>
      </c>
      <c r="H8" s="56">
        <v>78</v>
      </c>
      <c r="I8" s="56">
        <v>62</v>
      </c>
      <c r="J8" s="56">
        <v>69</v>
      </c>
      <c r="K8" s="56">
        <v>64</v>
      </c>
      <c r="L8" s="56">
        <v>68</v>
      </c>
      <c r="M8" s="56">
        <v>64</v>
      </c>
      <c r="N8" s="56">
        <v>67</v>
      </c>
      <c r="O8" s="63">
        <f>SUM(C8:N8)</f>
        <v>732</v>
      </c>
      <c r="P8" s="66">
        <f>'Uruguay P&amp;L'!D7</f>
        <v>721</v>
      </c>
    </row>
    <row r="9" spans="2:16" x14ac:dyDescent="0.2">
      <c r="B9" s="6" t="s">
        <v>61</v>
      </c>
      <c r="C9" s="42">
        <v>30.392407407407404</v>
      </c>
      <c r="D9" s="42">
        <v>24.708449074074075</v>
      </c>
      <c r="E9" s="42">
        <v>27.813124999999996</v>
      </c>
      <c r="F9" s="42">
        <v>28.158726851851849</v>
      </c>
      <c r="G9" s="42">
        <v>29.685277777777777</v>
      </c>
      <c r="H9" s="42">
        <v>34.190254629629628</v>
      </c>
      <c r="I9" s="42">
        <v>36.960578703703703</v>
      </c>
      <c r="J9" s="42">
        <v>36.960578703703703</v>
      </c>
      <c r="K9" s="42">
        <v>36.960578703703703</v>
      </c>
      <c r="L9" s="42">
        <v>36.960578703703703</v>
      </c>
      <c r="M9" s="42">
        <v>36.960578703703703</v>
      </c>
      <c r="N9" s="42">
        <v>36.960578703703703</v>
      </c>
      <c r="O9" s="48">
        <f>SUM(C9:N9)</f>
        <v>396.71171296296302</v>
      </c>
      <c r="P9" s="66">
        <f>'Uruguay P&amp;L'!D14</f>
        <v>398</v>
      </c>
    </row>
    <row r="10" spans="2:16" x14ac:dyDescent="0.2">
      <c r="B10" s="6" t="s">
        <v>62</v>
      </c>
      <c r="C10" s="42">
        <v>-4.3018287037037037</v>
      </c>
      <c r="D10" s="42">
        <v>46.465185185185184</v>
      </c>
      <c r="E10" s="42">
        <v>12.199629629629628</v>
      </c>
      <c r="F10" s="42">
        <v>13.215532407407405</v>
      </c>
      <c r="G10" s="42">
        <v>7.339560185185185</v>
      </c>
      <c r="H10" s="42">
        <v>16.029768518518516</v>
      </c>
      <c r="I10" s="42">
        <v>-8.0322916666666657</v>
      </c>
      <c r="J10" s="42">
        <v>8.6925231481481475</v>
      </c>
      <c r="K10" s="42">
        <v>1.1390972222222222</v>
      </c>
      <c r="L10" s="42">
        <v>8.1260648148148142</v>
      </c>
      <c r="M10" s="42">
        <v>2.9184490740740738</v>
      </c>
      <c r="N10" s="42">
        <v>26.783749999999998</v>
      </c>
      <c r="O10" s="48">
        <f>SUM(C10:N10)</f>
        <v>130.57543981481479</v>
      </c>
      <c r="P10" s="66">
        <f>'Uruguay P&amp;L'!D26</f>
        <v>151.11000000000001</v>
      </c>
    </row>
    <row r="11" spans="2:16" x14ac:dyDescent="0.2">
      <c r="B11" s="9" t="s">
        <v>11</v>
      </c>
      <c r="C11" s="33">
        <f>IFERROR(C10/C8,0)</f>
        <v>-8.7792422524565386E-2</v>
      </c>
      <c r="D11" s="33">
        <f t="shared" ref="D11:O11" si="0">IFERROR(D10/D8,0)</f>
        <v>0.84482154882154881</v>
      </c>
      <c r="E11" s="33">
        <f t="shared" si="0"/>
        <v>0.29755194218608849</v>
      </c>
      <c r="F11" s="33">
        <f t="shared" si="0"/>
        <v>0.21315374850657104</v>
      </c>
      <c r="G11" s="33">
        <f t="shared" si="0"/>
        <v>0.13848226764500349</v>
      </c>
      <c r="H11" s="33">
        <f t="shared" si="0"/>
        <v>0.20550985280151943</v>
      </c>
      <c r="I11" s="33">
        <f t="shared" si="0"/>
        <v>-0.12955309139784946</v>
      </c>
      <c r="J11" s="33">
        <f t="shared" si="0"/>
        <v>0.12597859634997316</v>
      </c>
      <c r="K11" s="33">
        <f t="shared" si="0"/>
        <v>1.7798394097222222E-2</v>
      </c>
      <c r="L11" s="33">
        <f t="shared" si="0"/>
        <v>0.11950095315904138</v>
      </c>
      <c r="M11" s="33">
        <f t="shared" si="0"/>
        <v>4.5600766782407404E-2</v>
      </c>
      <c r="N11" s="33">
        <f t="shared" si="0"/>
        <v>0.39975746268656714</v>
      </c>
      <c r="O11" s="64">
        <f t="shared" si="0"/>
        <v>0.17838174838089452</v>
      </c>
    </row>
    <row r="12" spans="2:16" x14ac:dyDescent="0.2">
      <c r="B12" s="9"/>
    </row>
    <row r="13" spans="2:16" x14ac:dyDescent="0.2">
      <c r="B13" s="6" t="s">
        <v>60</v>
      </c>
      <c r="C13" s="76">
        <f>IFERROR(SUM(C8:E8)/$O8,0)</f>
        <v>0.19808743169398907</v>
      </c>
      <c r="D13" s="77"/>
      <c r="E13" s="78"/>
      <c r="F13" s="76">
        <f>IFERROR(SUM(F8:H8)/$O8,0)</f>
        <v>0.26366120218579236</v>
      </c>
      <c r="G13" s="77"/>
      <c r="H13" s="78"/>
      <c r="I13" s="76">
        <f>IFERROR(SUM(I8:K8)/$O8,0)</f>
        <v>0.26639344262295084</v>
      </c>
      <c r="J13" s="77"/>
      <c r="K13" s="78"/>
      <c r="L13" s="76">
        <f>IFERROR(SUM(L8:N8)/$O8,0)</f>
        <v>0.27185792349726778</v>
      </c>
      <c r="M13" s="77"/>
      <c r="N13" s="78"/>
    </row>
    <row r="14" spans="2:16" x14ac:dyDescent="0.2">
      <c r="B14" s="6" t="s">
        <v>61</v>
      </c>
      <c r="C14" s="76">
        <f>IFERROR(SUM(C9:E9)/$O9,0)</f>
        <v>0.20900310924074561</v>
      </c>
      <c r="D14" s="77"/>
      <c r="E14" s="78"/>
      <c r="F14" s="76">
        <f>IFERROR(SUM(F9:H9)/$O9,0)</f>
        <v>0.23199279540266954</v>
      </c>
      <c r="G14" s="77"/>
      <c r="H14" s="78"/>
      <c r="I14" s="76">
        <f>IFERROR(SUM(I9:K9)/$O9,0)</f>
        <v>0.27950204767829234</v>
      </c>
      <c r="J14" s="77"/>
      <c r="K14" s="78"/>
      <c r="L14" s="76">
        <f>IFERROR(SUM(L9:N9)/$O9,0)</f>
        <v>0.27950204767829234</v>
      </c>
      <c r="M14" s="77"/>
      <c r="N14" s="78"/>
    </row>
    <row r="15" spans="2:16" x14ac:dyDescent="0.2">
      <c r="B15" s="6" t="s">
        <v>62</v>
      </c>
      <c r="C15" s="76">
        <f>IFERROR(SUM(C10:E10)/$O10,0)</f>
        <v>0.41633393070098018</v>
      </c>
      <c r="D15" s="77"/>
      <c r="E15" s="78"/>
      <c r="F15" s="76">
        <f>IFERROR(SUM(F10:H10)/$O10,0)</f>
        <v>0.28018179500675344</v>
      </c>
      <c r="G15" s="77"/>
      <c r="H15" s="78"/>
      <c r="I15" s="76">
        <f>IFERROR(SUM(I10:K10)/$O10,0)</f>
        <v>1.377999343716977E-2</v>
      </c>
      <c r="J15" s="77"/>
      <c r="K15" s="78"/>
      <c r="L15" s="76">
        <f>IFERROR(SUM(L10:N10)/$O10,0)</f>
        <v>0.28970428085509675</v>
      </c>
      <c r="M15" s="77"/>
      <c r="N15" s="78"/>
    </row>
    <row r="16" spans="2:16" x14ac:dyDescent="0.2">
      <c r="B16" s="9"/>
      <c r="N16" s="1"/>
      <c r="O16" s="62" t="s">
        <v>63</v>
      </c>
    </row>
    <row r="17" spans="2:16" x14ac:dyDescent="0.2">
      <c r="B17" s="9"/>
      <c r="N17" s="1"/>
      <c r="O17" s="5"/>
    </row>
    <row r="18" spans="2:16" x14ac:dyDescent="0.2">
      <c r="B18" s="9"/>
    </row>
    <row r="19" spans="2:16" x14ac:dyDescent="0.2">
      <c r="B19" s="9"/>
    </row>
    <row r="20" spans="2:16" x14ac:dyDescent="0.2">
      <c r="B20" s="58" t="s">
        <v>73</v>
      </c>
      <c r="C20" s="59"/>
      <c r="D20" s="59"/>
      <c r="E20" s="59"/>
      <c r="F20" s="59"/>
      <c r="G20" s="59"/>
      <c r="H20" s="59"/>
      <c r="I20" s="60"/>
      <c r="J20" s="60"/>
      <c r="K20" s="60"/>
      <c r="L20" s="60"/>
      <c r="M20" s="60"/>
      <c r="N20" s="60"/>
      <c r="O20" s="61"/>
    </row>
    <row r="21" spans="2:16" x14ac:dyDescent="0.2">
      <c r="B21" s="6" t="s">
        <v>60</v>
      </c>
      <c r="C21" s="57">
        <v>45</v>
      </c>
      <c r="D21" s="57">
        <v>47</v>
      </c>
      <c r="E21" s="57">
        <v>41</v>
      </c>
      <c r="F21" s="57">
        <v>56</v>
      </c>
      <c r="G21" s="57">
        <v>58</v>
      </c>
      <c r="H21" s="57">
        <v>45</v>
      </c>
      <c r="I21" s="57">
        <v>43</v>
      </c>
      <c r="J21" s="57">
        <v>45</v>
      </c>
      <c r="K21" s="57">
        <v>35</v>
      </c>
      <c r="L21" s="57">
        <v>59</v>
      </c>
      <c r="M21" s="57">
        <v>43</v>
      </c>
      <c r="N21" s="57">
        <v>50</v>
      </c>
      <c r="O21" s="63">
        <v>569</v>
      </c>
      <c r="P21" s="65"/>
    </row>
    <row r="22" spans="2:16" x14ac:dyDescent="0.2">
      <c r="B22" s="6" t="s">
        <v>61</v>
      </c>
      <c r="C22" s="43">
        <v>31</v>
      </c>
      <c r="D22" s="43">
        <v>30</v>
      </c>
      <c r="E22" s="43">
        <v>31</v>
      </c>
      <c r="F22" s="43">
        <v>13</v>
      </c>
      <c r="G22" s="43">
        <v>27</v>
      </c>
      <c r="H22" s="43">
        <v>25</v>
      </c>
      <c r="I22" s="43">
        <v>27</v>
      </c>
      <c r="J22" s="43">
        <v>29</v>
      </c>
      <c r="K22" s="43">
        <v>24</v>
      </c>
      <c r="L22" s="43">
        <v>28</v>
      </c>
      <c r="M22" s="43">
        <v>28</v>
      </c>
      <c r="N22" s="43">
        <v>27</v>
      </c>
      <c r="O22" s="48">
        <f t="shared" ref="O22:O23" si="1">SUM(C22:N22)</f>
        <v>320</v>
      </c>
      <c r="P22" s="65"/>
    </row>
    <row r="23" spans="2:16" x14ac:dyDescent="0.2">
      <c r="B23" s="6" t="s">
        <v>62</v>
      </c>
      <c r="C23" s="43">
        <v>1</v>
      </c>
      <c r="D23" s="43">
        <v>10</v>
      </c>
      <c r="E23" s="43">
        <v>-16</v>
      </c>
      <c r="F23" s="43">
        <v>26</v>
      </c>
      <c r="G23" s="43">
        <v>43</v>
      </c>
      <c r="H23" s="43">
        <v>12</v>
      </c>
      <c r="I23" s="43">
        <v>5</v>
      </c>
      <c r="J23" s="43">
        <v>4</v>
      </c>
      <c r="K23" s="43">
        <v>7</v>
      </c>
      <c r="L23" s="43">
        <v>23</v>
      </c>
      <c r="M23" s="43">
        <v>4</v>
      </c>
      <c r="N23" s="43">
        <v>-10</v>
      </c>
      <c r="O23" s="48">
        <f t="shared" si="1"/>
        <v>109</v>
      </c>
      <c r="P23" s="65"/>
    </row>
    <row r="24" spans="2:16" x14ac:dyDescent="0.2">
      <c r="B24" s="9" t="s">
        <v>11</v>
      </c>
      <c r="C24" s="33">
        <f>IFERROR(C23/C21,0)</f>
        <v>2.2222222222222223E-2</v>
      </c>
      <c r="D24" s="33">
        <f t="shared" ref="D24:O24" si="2">IFERROR(D23/D21,0)</f>
        <v>0.21276595744680851</v>
      </c>
      <c r="E24" s="33">
        <f t="shared" si="2"/>
        <v>-0.3902439024390244</v>
      </c>
      <c r="F24" s="33">
        <f t="shared" si="2"/>
        <v>0.4642857142857143</v>
      </c>
      <c r="G24" s="33">
        <f t="shared" si="2"/>
        <v>0.74137931034482762</v>
      </c>
      <c r="H24" s="33">
        <f t="shared" si="2"/>
        <v>0.26666666666666666</v>
      </c>
      <c r="I24" s="33">
        <f t="shared" si="2"/>
        <v>0.11627906976744186</v>
      </c>
      <c r="J24" s="33">
        <f t="shared" si="2"/>
        <v>8.8888888888888892E-2</v>
      </c>
      <c r="K24" s="33">
        <f t="shared" si="2"/>
        <v>0.2</v>
      </c>
      <c r="L24" s="33">
        <f t="shared" si="2"/>
        <v>0.38983050847457629</v>
      </c>
      <c r="M24" s="33">
        <f t="shared" si="2"/>
        <v>9.3023255813953487E-2</v>
      </c>
      <c r="N24" s="33">
        <f t="shared" si="2"/>
        <v>-0.2</v>
      </c>
      <c r="O24" s="64">
        <f t="shared" si="2"/>
        <v>0.19156414762741653</v>
      </c>
    </row>
    <row r="26" spans="2:16" x14ac:dyDescent="0.2">
      <c r="B26" s="6" t="s">
        <v>60</v>
      </c>
      <c r="C26" s="76">
        <f>IFERROR(SUM(C21:E21)/SUM(C21:N21),0)</f>
        <v>0.23456790123456789</v>
      </c>
      <c r="D26" s="77"/>
      <c r="E26" s="78"/>
      <c r="F26" s="76">
        <f>IFERROR(SUM(F21:H21)/SUM(C21:N21),0)</f>
        <v>0.28042328042328041</v>
      </c>
      <c r="G26" s="77"/>
      <c r="H26" s="78"/>
      <c r="I26" s="76">
        <f>IFERROR(SUM(I21:K21)/SUM(C21:N21),0)</f>
        <v>0.21693121693121692</v>
      </c>
      <c r="J26" s="77"/>
      <c r="K26" s="78"/>
      <c r="L26" s="76">
        <f>IFERROR(SUM(L21:N21)/SUM(C21:N21),0)</f>
        <v>0.26807760141093473</v>
      </c>
      <c r="M26" s="77"/>
      <c r="N26" s="78"/>
    </row>
    <row r="27" spans="2:16" x14ac:dyDescent="0.2">
      <c r="B27" s="6" t="s">
        <v>61</v>
      </c>
      <c r="C27" s="76">
        <f>IFERROR(SUM(C22:E22)/SUM(C22:N22),0)</f>
        <v>0.28749999999999998</v>
      </c>
      <c r="D27" s="77"/>
      <c r="E27" s="78"/>
      <c r="F27" s="76">
        <f>IFERROR(SUM(F22:H22)/SUM(C22:N22),0)</f>
        <v>0.203125</v>
      </c>
      <c r="G27" s="77"/>
      <c r="H27" s="78"/>
      <c r="I27" s="76">
        <f>IFERROR(SUM(I22:K22)/SUM(C22:N22),0)</f>
        <v>0.25</v>
      </c>
      <c r="J27" s="77"/>
      <c r="K27" s="78"/>
      <c r="L27" s="76">
        <f>IFERROR(SUM(L22:N22)/SUM(C22:N22),0)</f>
        <v>0.25937500000000002</v>
      </c>
      <c r="M27" s="77"/>
      <c r="N27" s="78"/>
    </row>
    <row r="28" spans="2:16" x14ac:dyDescent="0.2">
      <c r="B28" s="6" t="s">
        <v>62</v>
      </c>
      <c r="C28" s="76">
        <f>IFERROR(SUM(C23:E23)/SUM(C23:N23),0)</f>
        <v>-4.5871559633027525E-2</v>
      </c>
      <c r="D28" s="77"/>
      <c r="E28" s="78"/>
      <c r="F28" s="76">
        <f>IFERROR(SUM(F23:H23)/SUM(C23:N23),0)</f>
        <v>0.74311926605504586</v>
      </c>
      <c r="G28" s="77"/>
      <c r="H28" s="78"/>
      <c r="I28" s="76">
        <f>IFERROR(SUM(I23:K23)/SUM(C23:N23),0)</f>
        <v>0.14678899082568808</v>
      </c>
      <c r="J28" s="77"/>
      <c r="K28" s="78"/>
      <c r="L28" s="76">
        <f>IFERROR(SUM(L23:N23)/SUM(C23:N23),0)</f>
        <v>0.15596330275229359</v>
      </c>
      <c r="M28" s="77"/>
      <c r="N28" s="78"/>
    </row>
    <row r="32" spans="2:16" x14ac:dyDescent="0.2">
      <c r="I32" s="69"/>
      <c r="J32" s="69"/>
      <c r="K32" s="69"/>
      <c r="L32" s="69"/>
      <c r="M32" s="69"/>
      <c r="N32" s="69"/>
    </row>
    <row r="33" spans="9:17" x14ac:dyDescent="0.2">
      <c r="I33" s="4"/>
      <c r="J33" s="4"/>
      <c r="K33" s="4"/>
      <c r="L33" s="4"/>
      <c r="M33" s="4"/>
      <c r="N33" s="4"/>
    </row>
    <row r="34" spans="9:17" x14ac:dyDescent="0.2">
      <c r="I34" s="4"/>
      <c r="J34" s="4"/>
      <c r="K34" s="4"/>
      <c r="L34" s="4"/>
      <c r="M34" s="4"/>
      <c r="N34" s="4"/>
    </row>
    <row r="38" spans="9:17" x14ac:dyDescent="0.2">
      <c r="I38" s="4"/>
      <c r="J38" s="4"/>
      <c r="K38" s="4"/>
      <c r="L38" s="4"/>
      <c r="M38" s="4"/>
      <c r="N38" s="4"/>
    </row>
    <row r="41" spans="9:17" x14ac:dyDescent="0.2">
      <c r="I41" s="69"/>
      <c r="J41" s="69"/>
      <c r="K41" s="69"/>
      <c r="L41" s="69"/>
      <c r="M41" s="69"/>
      <c r="N41" s="69"/>
      <c r="O41" s="70"/>
    </row>
    <row r="42" spans="9:17" x14ac:dyDescent="0.2">
      <c r="I42" s="4"/>
      <c r="J42" s="4"/>
      <c r="K42" s="4"/>
      <c r="L42" s="4"/>
      <c r="M42" s="4"/>
      <c r="N42" s="4"/>
    </row>
    <row r="43" spans="9:17" x14ac:dyDescent="0.2">
      <c r="I43" s="4"/>
      <c r="J43" s="4"/>
      <c r="K43" s="4"/>
      <c r="L43" s="4"/>
      <c r="M43" s="4"/>
      <c r="N43" s="4"/>
      <c r="O43" s="70"/>
      <c r="Q43" s="70"/>
    </row>
    <row r="44" spans="9:17" x14ac:dyDescent="0.2">
      <c r="I44" s="4"/>
      <c r="J44" s="4"/>
      <c r="K44" s="4"/>
      <c r="L44" s="4"/>
      <c r="M44" s="4"/>
      <c r="N44" s="4"/>
      <c r="O44" s="4"/>
    </row>
  </sheetData>
  <mergeCells count="24">
    <mergeCell ref="C13:E13"/>
    <mergeCell ref="F13:H13"/>
    <mergeCell ref="I13:K13"/>
    <mergeCell ref="L13:N13"/>
    <mergeCell ref="C14:E14"/>
    <mergeCell ref="F14:H14"/>
    <mergeCell ref="I14:K14"/>
    <mergeCell ref="L14:N14"/>
    <mergeCell ref="C15:E15"/>
    <mergeCell ref="F15:H15"/>
    <mergeCell ref="I15:K15"/>
    <mergeCell ref="L15:N15"/>
    <mergeCell ref="C26:E26"/>
    <mergeCell ref="F26:H26"/>
    <mergeCell ref="I26:K26"/>
    <mergeCell ref="L26:N26"/>
    <mergeCell ref="C27:E27"/>
    <mergeCell ref="F27:H27"/>
    <mergeCell ref="I27:K27"/>
    <mergeCell ref="L27:N27"/>
    <mergeCell ref="C28:E28"/>
    <mergeCell ref="F28:H28"/>
    <mergeCell ref="I28:K28"/>
    <mergeCell ref="L28:N28"/>
  </mergeCells>
  <conditionalFormatting sqref="C13:N15">
    <cfRule type="cellIs" dxfId="1" priority="1" operator="lessThan">
      <formula>C26-1%</formula>
    </cfRule>
    <cfRule type="cellIs" dxfId="0" priority="2" operator="greaterThan">
      <formula>C26+1%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2EB34-B4FD-45E3-A240-DF855F3A9C5C}">
  <dimension ref="B1:K236"/>
  <sheetViews>
    <sheetView showGridLines="0" zoomScale="80" zoomScaleNormal="80" workbookViewId="0">
      <pane ySplit="8" topLeftCell="A9" activePane="bottomLeft" state="frozen"/>
      <selection activeCell="A2" sqref="A2"/>
      <selection pane="bottomLeft" activeCell="H10" sqref="H10"/>
    </sheetView>
  </sheetViews>
  <sheetFormatPr baseColWidth="10" defaultColWidth="9.1640625" defaultRowHeight="15" x14ac:dyDescent="0.2"/>
  <cols>
    <col min="1" max="1" width="3.6640625" style="1" customWidth="1"/>
    <col min="2" max="2" width="20.5" style="1" customWidth="1"/>
    <col min="3" max="3" width="16.6640625" style="1" customWidth="1"/>
    <col min="4" max="5" width="37.83203125" style="4" customWidth="1"/>
    <col min="6" max="6" width="17.33203125" style="4" hidden="1" customWidth="1"/>
    <col min="7" max="8" width="14.6640625" style="4" customWidth="1"/>
    <col min="9" max="10" width="14.6640625" style="5" customWidth="1"/>
    <col min="11" max="11" width="14.6640625" style="1" customWidth="1"/>
    <col min="12" max="12" width="3.6640625" style="1" customWidth="1"/>
    <col min="13" max="20" width="9.1640625" style="1"/>
    <col min="21" max="21" width="3.6640625" style="1" customWidth="1"/>
    <col min="22" max="29" width="9.1640625" style="1"/>
    <col min="30" max="30" width="3.6640625" style="1" customWidth="1"/>
    <col min="31" max="16384" width="9.1640625" style="1"/>
  </cols>
  <sheetData>
    <row r="1" spans="2:11" ht="16" thickBot="1" x14ac:dyDescent="0.25"/>
    <row r="2" spans="2:11" ht="17" thickTop="1" thickBot="1" x14ac:dyDescent="0.25">
      <c r="B2" s="50" t="s">
        <v>39</v>
      </c>
      <c r="C2" s="51"/>
      <c r="D2" s="51"/>
      <c r="E2" s="51"/>
      <c r="F2" s="53"/>
      <c r="G2" s="51"/>
      <c r="H2" s="51"/>
      <c r="I2" s="51"/>
      <c r="J2" s="51"/>
      <c r="K2" s="52"/>
    </row>
    <row r="3" spans="2:11" ht="16" thickTop="1" x14ac:dyDescent="0.2"/>
    <row r="4" spans="2:11" ht="32" x14ac:dyDescent="0.2">
      <c r="B4" s="79" t="s">
        <v>24</v>
      </c>
      <c r="C4" s="79" t="s">
        <v>25</v>
      </c>
      <c r="D4" s="79" t="s">
        <v>34</v>
      </c>
      <c r="E4" s="79" t="s">
        <v>35</v>
      </c>
      <c r="F4" s="79" t="s">
        <v>45</v>
      </c>
      <c r="G4" s="3" t="s">
        <v>37</v>
      </c>
      <c r="H4" s="2" t="s">
        <v>36</v>
      </c>
      <c r="I4" s="2" t="s">
        <v>40</v>
      </c>
      <c r="J4" s="44" t="s">
        <v>41</v>
      </c>
      <c r="K4" s="44" t="s">
        <v>42</v>
      </c>
    </row>
    <row r="5" spans="2:11" s="46" customFormat="1" x14ac:dyDescent="0.2">
      <c r="B5" s="79"/>
      <c r="C5" s="79"/>
      <c r="D5" s="79"/>
      <c r="E5" s="79"/>
      <c r="F5" s="79"/>
      <c r="G5" s="47" t="s">
        <v>38</v>
      </c>
      <c r="H5" s="47" t="s">
        <v>23</v>
      </c>
      <c r="I5" s="47" t="s">
        <v>23</v>
      </c>
      <c r="J5" s="47" t="s">
        <v>23</v>
      </c>
      <c r="K5" s="47" t="s">
        <v>23</v>
      </c>
    </row>
    <row r="6" spans="2:11" ht="5" customHeight="1" x14ac:dyDescent="0.2">
      <c r="G6" s="5"/>
    </row>
    <row r="7" spans="2:11" x14ac:dyDescent="0.2">
      <c r="G7" s="5"/>
      <c r="H7" s="49">
        <f>SUM(H$10:H$500)</f>
        <v>136800</v>
      </c>
      <c r="I7" s="49">
        <f>SUM(I$10:I$500)</f>
        <v>60800</v>
      </c>
      <c r="J7" s="48">
        <f>SUM(J$10:J$500)</f>
        <v>109440</v>
      </c>
      <c r="K7" s="48">
        <f>SUM(K$10:K$500)</f>
        <v>48640</v>
      </c>
    </row>
    <row r="8" spans="2:11" ht="5" customHeight="1" x14ac:dyDescent="0.2">
      <c r="G8" s="5"/>
    </row>
    <row r="9" spans="2:11" ht="5" customHeight="1" x14ac:dyDescent="0.2">
      <c r="G9" s="5"/>
    </row>
    <row r="10" spans="2:11" x14ac:dyDescent="0.2">
      <c r="B10" s="40" t="s">
        <v>33</v>
      </c>
      <c r="C10" s="40" t="s">
        <v>19</v>
      </c>
      <c r="D10" s="41" t="s">
        <v>74</v>
      </c>
      <c r="E10" s="41"/>
      <c r="F10" s="54"/>
      <c r="G10" s="45">
        <v>0.8</v>
      </c>
      <c r="H10" s="42">
        <v>8000</v>
      </c>
      <c r="I10" s="42">
        <v>8000</v>
      </c>
      <c r="J10" s="43">
        <f>$G$10*H10</f>
        <v>6400</v>
      </c>
      <c r="K10" s="43">
        <f t="shared" ref="K10:K73" si="0">$G$10*I10</f>
        <v>6400</v>
      </c>
    </row>
    <row r="11" spans="2:11" x14ac:dyDescent="0.2">
      <c r="B11" s="40"/>
      <c r="C11" s="40"/>
      <c r="D11" s="41" t="s">
        <v>75</v>
      </c>
      <c r="E11" s="41"/>
      <c r="F11" s="54"/>
      <c r="G11" s="45">
        <v>0.3</v>
      </c>
      <c r="H11" s="42">
        <v>2500</v>
      </c>
      <c r="I11" s="42">
        <v>2500</v>
      </c>
      <c r="J11" s="43">
        <f t="shared" ref="J11:J73" si="1">$G$10*H11</f>
        <v>2000</v>
      </c>
      <c r="K11" s="43">
        <f t="shared" si="0"/>
        <v>2000</v>
      </c>
    </row>
    <row r="12" spans="2:11" x14ac:dyDescent="0.2">
      <c r="B12" s="40"/>
      <c r="C12" s="40"/>
      <c r="D12" s="41" t="s">
        <v>76</v>
      </c>
      <c r="E12" s="41"/>
      <c r="F12" s="54"/>
      <c r="G12" s="45">
        <v>0.2</v>
      </c>
      <c r="H12" s="42">
        <v>32000</v>
      </c>
      <c r="I12" s="42">
        <v>10000</v>
      </c>
      <c r="J12" s="43">
        <f t="shared" si="1"/>
        <v>25600</v>
      </c>
      <c r="K12" s="43">
        <f t="shared" si="0"/>
        <v>8000</v>
      </c>
    </row>
    <row r="13" spans="2:11" x14ac:dyDescent="0.2">
      <c r="B13" s="40"/>
      <c r="C13" s="40"/>
      <c r="D13" s="41" t="s">
        <v>77</v>
      </c>
      <c r="E13" s="41"/>
      <c r="F13" s="54"/>
      <c r="G13" s="45">
        <v>0.9</v>
      </c>
      <c r="H13" s="42">
        <v>1300</v>
      </c>
      <c r="I13" s="42">
        <v>1300</v>
      </c>
      <c r="J13" s="43">
        <f t="shared" si="1"/>
        <v>1040</v>
      </c>
      <c r="K13" s="43">
        <f t="shared" si="0"/>
        <v>1040</v>
      </c>
    </row>
    <row r="14" spans="2:11" x14ac:dyDescent="0.2">
      <c r="B14" s="40"/>
      <c r="C14" s="40"/>
      <c r="D14" s="41" t="s">
        <v>78</v>
      </c>
      <c r="E14" s="41"/>
      <c r="F14" s="54"/>
      <c r="G14" s="45">
        <v>0.6</v>
      </c>
      <c r="H14" s="42">
        <v>3000</v>
      </c>
      <c r="I14" s="42">
        <v>3000</v>
      </c>
      <c r="J14" s="43">
        <f t="shared" si="1"/>
        <v>2400</v>
      </c>
      <c r="K14" s="43">
        <f t="shared" si="0"/>
        <v>2400</v>
      </c>
    </row>
    <row r="15" spans="2:11" x14ac:dyDescent="0.2">
      <c r="B15" s="40"/>
      <c r="C15" s="40"/>
      <c r="D15" s="41" t="s">
        <v>79</v>
      </c>
      <c r="E15" s="41"/>
      <c r="F15" s="54"/>
      <c r="G15" s="45">
        <v>0.6</v>
      </c>
      <c r="H15" s="42">
        <v>2000</v>
      </c>
      <c r="I15" s="42">
        <v>2000</v>
      </c>
      <c r="J15" s="43">
        <f t="shared" si="1"/>
        <v>1600</v>
      </c>
      <c r="K15" s="43">
        <f t="shared" si="0"/>
        <v>1600</v>
      </c>
    </row>
    <row r="16" spans="2:11" x14ac:dyDescent="0.2">
      <c r="B16" s="40"/>
      <c r="C16" s="40"/>
      <c r="D16" s="41" t="s">
        <v>80</v>
      </c>
      <c r="E16" s="41"/>
      <c r="F16" s="54"/>
      <c r="G16" s="45">
        <v>0.6</v>
      </c>
      <c r="H16" s="42">
        <v>60000</v>
      </c>
      <c r="I16" s="42">
        <v>20000</v>
      </c>
      <c r="J16" s="43">
        <f t="shared" si="1"/>
        <v>48000</v>
      </c>
      <c r="K16" s="43">
        <f t="shared" si="0"/>
        <v>16000</v>
      </c>
    </row>
    <row r="17" spans="2:11" x14ac:dyDescent="0.2">
      <c r="B17" s="40"/>
      <c r="C17" s="40"/>
      <c r="D17" s="41" t="s">
        <v>81</v>
      </c>
      <c r="E17" s="41"/>
      <c r="F17" s="54"/>
      <c r="G17" s="45">
        <v>0.25</v>
      </c>
      <c r="H17" s="42">
        <v>18000</v>
      </c>
      <c r="I17" s="42">
        <v>9000</v>
      </c>
      <c r="J17" s="43">
        <f t="shared" si="1"/>
        <v>14400</v>
      </c>
      <c r="K17" s="43">
        <f t="shared" si="0"/>
        <v>7200</v>
      </c>
    </row>
    <row r="18" spans="2:11" x14ac:dyDescent="0.2">
      <c r="B18" s="40"/>
      <c r="C18" s="40"/>
      <c r="D18" s="41" t="s">
        <v>82</v>
      </c>
      <c r="E18" s="41"/>
      <c r="F18" s="54"/>
      <c r="G18" s="45">
        <v>0.3</v>
      </c>
      <c r="H18" s="42">
        <v>10000</v>
      </c>
      <c r="I18" s="42">
        <v>5000</v>
      </c>
      <c r="J18" s="43">
        <f t="shared" si="1"/>
        <v>8000</v>
      </c>
      <c r="K18" s="43">
        <f t="shared" si="0"/>
        <v>4000</v>
      </c>
    </row>
    <row r="19" spans="2:11" x14ac:dyDescent="0.2">
      <c r="B19" s="40"/>
      <c r="C19" s="40"/>
      <c r="D19" s="41"/>
      <c r="E19" s="41"/>
      <c r="F19" s="54"/>
      <c r="G19" s="45"/>
      <c r="H19" s="42"/>
      <c r="I19" s="42"/>
      <c r="J19" s="43">
        <f t="shared" si="1"/>
        <v>0</v>
      </c>
      <c r="K19" s="43">
        <f t="shared" si="0"/>
        <v>0</v>
      </c>
    </row>
    <row r="20" spans="2:11" x14ac:dyDescent="0.2">
      <c r="B20" s="40"/>
      <c r="C20" s="40"/>
      <c r="D20" s="41"/>
      <c r="E20" s="41"/>
      <c r="F20" s="54"/>
      <c r="G20" s="45"/>
      <c r="H20" s="42"/>
      <c r="I20" s="42"/>
      <c r="J20" s="43">
        <f t="shared" si="1"/>
        <v>0</v>
      </c>
      <c r="K20" s="43">
        <f t="shared" si="0"/>
        <v>0</v>
      </c>
    </row>
    <row r="21" spans="2:11" x14ac:dyDescent="0.2">
      <c r="B21" s="40"/>
      <c r="C21" s="40"/>
      <c r="D21" s="41"/>
      <c r="E21" s="41"/>
      <c r="F21" s="54"/>
      <c r="G21" s="45"/>
      <c r="H21" s="42"/>
      <c r="I21" s="42"/>
      <c r="J21" s="43">
        <f t="shared" si="1"/>
        <v>0</v>
      </c>
      <c r="K21" s="43">
        <f t="shared" si="0"/>
        <v>0</v>
      </c>
    </row>
    <row r="22" spans="2:11" x14ac:dyDescent="0.2">
      <c r="B22" s="40"/>
      <c r="C22" s="40"/>
      <c r="D22" s="41"/>
      <c r="E22" s="41"/>
      <c r="F22" s="54"/>
      <c r="G22" s="45"/>
      <c r="H22" s="42"/>
      <c r="I22" s="42"/>
      <c r="J22" s="43">
        <f t="shared" si="1"/>
        <v>0</v>
      </c>
      <c r="K22" s="43">
        <f t="shared" si="0"/>
        <v>0</v>
      </c>
    </row>
    <row r="23" spans="2:11" x14ac:dyDescent="0.2">
      <c r="B23" s="40"/>
      <c r="C23" s="40"/>
      <c r="D23" s="41"/>
      <c r="E23" s="41"/>
      <c r="F23" s="54"/>
      <c r="G23" s="45"/>
      <c r="H23" s="42"/>
      <c r="I23" s="42"/>
      <c r="J23" s="43">
        <f t="shared" si="1"/>
        <v>0</v>
      </c>
      <c r="K23" s="43">
        <f t="shared" si="0"/>
        <v>0</v>
      </c>
    </row>
    <row r="24" spans="2:11" x14ac:dyDescent="0.2">
      <c r="B24" s="40"/>
      <c r="C24" s="40"/>
      <c r="D24" s="41"/>
      <c r="E24" s="41"/>
      <c r="F24" s="54"/>
      <c r="G24" s="45"/>
      <c r="H24" s="42"/>
      <c r="I24" s="42"/>
      <c r="J24" s="43">
        <f t="shared" si="1"/>
        <v>0</v>
      </c>
      <c r="K24" s="43">
        <f t="shared" si="0"/>
        <v>0</v>
      </c>
    </row>
    <row r="25" spans="2:11" x14ac:dyDescent="0.2">
      <c r="B25" s="40"/>
      <c r="C25" s="40"/>
      <c r="D25" s="41"/>
      <c r="E25" s="41"/>
      <c r="F25" s="54"/>
      <c r="G25" s="45"/>
      <c r="H25" s="42"/>
      <c r="I25" s="42"/>
      <c r="J25" s="43">
        <f t="shared" si="1"/>
        <v>0</v>
      </c>
      <c r="K25" s="43">
        <f t="shared" si="0"/>
        <v>0</v>
      </c>
    </row>
    <row r="26" spans="2:11" x14ac:dyDescent="0.2">
      <c r="B26" s="40"/>
      <c r="C26" s="40"/>
      <c r="D26" s="41"/>
      <c r="E26" s="41"/>
      <c r="F26" s="54"/>
      <c r="G26" s="45"/>
      <c r="H26" s="42"/>
      <c r="I26" s="42"/>
      <c r="J26" s="43">
        <f t="shared" si="1"/>
        <v>0</v>
      </c>
      <c r="K26" s="43">
        <f t="shared" si="0"/>
        <v>0</v>
      </c>
    </row>
    <row r="27" spans="2:11" x14ac:dyDescent="0.2">
      <c r="B27" s="40"/>
      <c r="C27" s="40"/>
      <c r="D27" s="41"/>
      <c r="E27" s="41"/>
      <c r="F27" s="54"/>
      <c r="G27" s="45"/>
      <c r="H27" s="42"/>
      <c r="I27" s="42"/>
      <c r="J27" s="43">
        <f t="shared" si="1"/>
        <v>0</v>
      </c>
      <c r="K27" s="43">
        <f t="shared" si="0"/>
        <v>0</v>
      </c>
    </row>
    <row r="28" spans="2:11" x14ac:dyDescent="0.2">
      <c r="B28" s="40"/>
      <c r="C28" s="40"/>
      <c r="D28" s="41"/>
      <c r="E28" s="41"/>
      <c r="F28" s="54"/>
      <c r="G28" s="45"/>
      <c r="H28" s="42"/>
      <c r="I28" s="42"/>
      <c r="J28" s="43">
        <f t="shared" si="1"/>
        <v>0</v>
      </c>
      <c r="K28" s="43">
        <f t="shared" si="0"/>
        <v>0</v>
      </c>
    </row>
    <row r="29" spans="2:11" x14ac:dyDescent="0.2">
      <c r="B29" s="40"/>
      <c r="C29" s="40"/>
      <c r="D29" s="41"/>
      <c r="E29" s="41"/>
      <c r="F29" s="54"/>
      <c r="G29" s="45"/>
      <c r="H29" s="42"/>
      <c r="I29" s="42"/>
      <c r="J29" s="43">
        <f t="shared" si="1"/>
        <v>0</v>
      </c>
      <c r="K29" s="43">
        <f t="shared" si="0"/>
        <v>0</v>
      </c>
    </row>
    <row r="30" spans="2:11" x14ac:dyDescent="0.2">
      <c r="B30" s="40"/>
      <c r="C30" s="40"/>
      <c r="D30" s="41"/>
      <c r="E30" s="41"/>
      <c r="F30" s="54"/>
      <c r="G30" s="45"/>
      <c r="H30" s="42"/>
      <c r="I30" s="42"/>
      <c r="J30" s="43">
        <f t="shared" si="1"/>
        <v>0</v>
      </c>
      <c r="K30" s="43">
        <f t="shared" si="0"/>
        <v>0</v>
      </c>
    </row>
    <row r="31" spans="2:11" x14ac:dyDescent="0.2">
      <c r="B31" s="40"/>
      <c r="C31" s="40"/>
      <c r="D31" s="41"/>
      <c r="E31" s="41"/>
      <c r="F31" s="54"/>
      <c r="G31" s="45"/>
      <c r="H31" s="42"/>
      <c r="I31" s="42"/>
      <c r="J31" s="43">
        <f t="shared" si="1"/>
        <v>0</v>
      </c>
      <c r="K31" s="43">
        <f t="shared" si="0"/>
        <v>0</v>
      </c>
    </row>
    <row r="32" spans="2:11" x14ac:dyDescent="0.2">
      <c r="B32" s="40"/>
      <c r="C32" s="40"/>
      <c r="D32" s="41"/>
      <c r="E32" s="41"/>
      <c r="F32" s="54"/>
      <c r="G32" s="45"/>
      <c r="H32" s="42"/>
      <c r="I32" s="42"/>
      <c r="J32" s="43">
        <f t="shared" si="1"/>
        <v>0</v>
      </c>
      <c r="K32" s="43">
        <f t="shared" si="0"/>
        <v>0</v>
      </c>
    </row>
    <row r="33" spans="2:11" x14ac:dyDescent="0.2">
      <c r="B33" s="40"/>
      <c r="C33" s="40"/>
      <c r="D33" s="41"/>
      <c r="E33" s="41"/>
      <c r="F33" s="54"/>
      <c r="G33" s="45"/>
      <c r="H33" s="42"/>
      <c r="I33" s="42"/>
      <c r="J33" s="43">
        <f t="shared" si="1"/>
        <v>0</v>
      </c>
      <c r="K33" s="43">
        <f t="shared" si="0"/>
        <v>0</v>
      </c>
    </row>
    <row r="34" spans="2:11" x14ac:dyDescent="0.2">
      <c r="B34" s="40"/>
      <c r="C34" s="40"/>
      <c r="D34" s="41"/>
      <c r="E34" s="41"/>
      <c r="F34" s="54"/>
      <c r="G34" s="45"/>
      <c r="H34" s="42"/>
      <c r="I34" s="42"/>
      <c r="J34" s="43">
        <f t="shared" si="1"/>
        <v>0</v>
      </c>
      <c r="K34" s="43">
        <f t="shared" si="0"/>
        <v>0</v>
      </c>
    </row>
    <row r="35" spans="2:11" x14ac:dyDescent="0.2">
      <c r="B35" s="40"/>
      <c r="C35" s="40"/>
      <c r="D35" s="41"/>
      <c r="E35" s="41"/>
      <c r="F35" s="54"/>
      <c r="G35" s="45"/>
      <c r="H35" s="42"/>
      <c r="I35" s="42"/>
      <c r="J35" s="43">
        <f t="shared" si="1"/>
        <v>0</v>
      </c>
      <c r="K35" s="43">
        <f t="shared" si="0"/>
        <v>0</v>
      </c>
    </row>
    <row r="36" spans="2:11" x14ac:dyDescent="0.2">
      <c r="B36" s="40"/>
      <c r="C36" s="40"/>
      <c r="D36" s="41"/>
      <c r="E36" s="41"/>
      <c r="F36" s="54"/>
      <c r="G36" s="45"/>
      <c r="H36" s="42"/>
      <c r="I36" s="42"/>
      <c r="J36" s="43">
        <f t="shared" si="1"/>
        <v>0</v>
      </c>
      <c r="K36" s="43">
        <f t="shared" si="0"/>
        <v>0</v>
      </c>
    </row>
    <row r="37" spans="2:11" x14ac:dyDescent="0.2">
      <c r="B37" s="40"/>
      <c r="C37" s="40"/>
      <c r="D37" s="41"/>
      <c r="E37" s="41"/>
      <c r="F37" s="54"/>
      <c r="G37" s="45"/>
      <c r="H37" s="42"/>
      <c r="I37" s="42"/>
      <c r="J37" s="43">
        <f t="shared" si="1"/>
        <v>0</v>
      </c>
      <c r="K37" s="43">
        <f t="shared" si="0"/>
        <v>0</v>
      </c>
    </row>
    <row r="38" spans="2:11" x14ac:dyDescent="0.2">
      <c r="B38" s="40"/>
      <c r="C38" s="40"/>
      <c r="D38" s="41"/>
      <c r="E38" s="41"/>
      <c r="F38" s="54"/>
      <c r="G38" s="45"/>
      <c r="H38" s="42"/>
      <c r="I38" s="42"/>
      <c r="J38" s="43">
        <f t="shared" si="1"/>
        <v>0</v>
      </c>
      <c r="K38" s="43">
        <f t="shared" si="0"/>
        <v>0</v>
      </c>
    </row>
    <row r="39" spans="2:11" x14ac:dyDescent="0.2">
      <c r="B39" s="40"/>
      <c r="C39" s="40"/>
      <c r="D39" s="41"/>
      <c r="E39" s="41"/>
      <c r="F39" s="54"/>
      <c r="G39" s="45"/>
      <c r="H39" s="42"/>
      <c r="I39" s="42"/>
      <c r="J39" s="43">
        <f t="shared" si="1"/>
        <v>0</v>
      </c>
      <c r="K39" s="43">
        <f t="shared" si="0"/>
        <v>0</v>
      </c>
    </row>
    <row r="40" spans="2:11" x14ac:dyDescent="0.2">
      <c r="B40" s="40"/>
      <c r="C40" s="40"/>
      <c r="D40" s="41"/>
      <c r="E40" s="41"/>
      <c r="F40" s="54"/>
      <c r="G40" s="45"/>
      <c r="H40" s="42"/>
      <c r="I40" s="42"/>
      <c r="J40" s="43">
        <f t="shared" si="1"/>
        <v>0</v>
      </c>
      <c r="K40" s="43">
        <f t="shared" si="0"/>
        <v>0</v>
      </c>
    </row>
    <row r="41" spans="2:11" x14ac:dyDescent="0.2">
      <c r="B41" s="40"/>
      <c r="C41" s="40"/>
      <c r="D41" s="41"/>
      <c r="E41" s="41"/>
      <c r="F41" s="54"/>
      <c r="G41" s="45"/>
      <c r="H41" s="42"/>
      <c r="I41" s="42"/>
      <c r="J41" s="43">
        <f t="shared" si="1"/>
        <v>0</v>
      </c>
      <c r="K41" s="43">
        <f t="shared" si="0"/>
        <v>0</v>
      </c>
    </row>
    <row r="42" spans="2:11" x14ac:dyDescent="0.2">
      <c r="B42" s="40"/>
      <c r="C42" s="40"/>
      <c r="D42" s="41"/>
      <c r="E42" s="41"/>
      <c r="F42" s="54"/>
      <c r="G42" s="45"/>
      <c r="H42" s="42"/>
      <c r="I42" s="42"/>
      <c r="J42" s="43">
        <f t="shared" si="1"/>
        <v>0</v>
      </c>
      <c r="K42" s="43">
        <f t="shared" si="0"/>
        <v>0</v>
      </c>
    </row>
    <row r="43" spans="2:11" x14ac:dyDescent="0.2">
      <c r="B43" s="40"/>
      <c r="C43" s="40"/>
      <c r="D43" s="41"/>
      <c r="E43" s="41"/>
      <c r="F43" s="54"/>
      <c r="G43" s="45"/>
      <c r="H43" s="42"/>
      <c r="I43" s="42"/>
      <c r="J43" s="43">
        <f t="shared" si="1"/>
        <v>0</v>
      </c>
      <c r="K43" s="43">
        <f t="shared" si="0"/>
        <v>0</v>
      </c>
    </row>
    <row r="44" spans="2:11" x14ac:dyDescent="0.2">
      <c r="B44" s="40"/>
      <c r="C44" s="40"/>
      <c r="D44" s="41"/>
      <c r="E44" s="41"/>
      <c r="F44" s="54"/>
      <c r="G44" s="45"/>
      <c r="H44" s="42"/>
      <c r="I44" s="42"/>
      <c r="J44" s="43">
        <f t="shared" si="1"/>
        <v>0</v>
      </c>
      <c r="K44" s="43">
        <f t="shared" si="0"/>
        <v>0</v>
      </c>
    </row>
    <row r="45" spans="2:11" x14ac:dyDescent="0.2">
      <c r="B45" s="40"/>
      <c r="C45" s="40"/>
      <c r="D45" s="41"/>
      <c r="E45" s="41"/>
      <c r="F45" s="54"/>
      <c r="G45" s="45"/>
      <c r="H45" s="42"/>
      <c r="I45" s="42"/>
      <c r="J45" s="43">
        <f t="shared" si="1"/>
        <v>0</v>
      </c>
      <c r="K45" s="43">
        <f t="shared" si="0"/>
        <v>0</v>
      </c>
    </row>
    <row r="46" spans="2:11" x14ac:dyDescent="0.2">
      <c r="B46" s="40"/>
      <c r="C46" s="40"/>
      <c r="D46" s="41"/>
      <c r="E46" s="41"/>
      <c r="F46" s="54"/>
      <c r="G46" s="45"/>
      <c r="H46" s="42"/>
      <c r="I46" s="42"/>
      <c r="J46" s="43">
        <f t="shared" si="1"/>
        <v>0</v>
      </c>
      <c r="K46" s="43">
        <f t="shared" si="0"/>
        <v>0</v>
      </c>
    </row>
    <row r="47" spans="2:11" x14ac:dyDescent="0.2">
      <c r="B47" s="40"/>
      <c r="C47" s="40"/>
      <c r="D47" s="41"/>
      <c r="E47" s="41"/>
      <c r="F47" s="54"/>
      <c r="G47" s="45"/>
      <c r="H47" s="42"/>
      <c r="I47" s="42"/>
      <c r="J47" s="43">
        <f t="shared" si="1"/>
        <v>0</v>
      </c>
      <c r="K47" s="43">
        <f t="shared" si="0"/>
        <v>0</v>
      </c>
    </row>
    <row r="48" spans="2:11" x14ac:dyDescent="0.2">
      <c r="B48" s="40"/>
      <c r="C48" s="40"/>
      <c r="D48" s="41"/>
      <c r="E48" s="41"/>
      <c r="F48" s="54"/>
      <c r="G48" s="45"/>
      <c r="H48" s="42"/>
      <c r="I48" s="42"/>
      <c r="J48" s="43">
        <f t="shared" si="1"/>
        <v>0</v>
      </c>
      <c r="K48" s="43">
        <f t="shared" si="0"/>
        <v>0</v>
      </c>
    </row>
    <row r="49" spans="2:11" x14ac:dyDescent="0.2">
      <c r="B49" s="40"/>
      <c r="C49" s="40"/>
      <c r="D49" s="41"/>
      <c r="E49" s="41"/>
      <c r="F49" s="54"/>
      <c r="G49" s="45"/>
      <c r="H49" s="42"/>
      <c r="I49" s="42"/>
      <c r="J49" s="43">
        <f t="shared" si="1"/>
        <v>0</v>
      </c>
      <c r="K49" s="43">
        <f t="shared" si="0"/>
        <v>0</v>
      </c>
    </row>
    <row r="50" spans="2:11" x14ac:dyDescent="0.2">
      <c r="B50" s="40"/>
      <c r="C50" s="40"/>
      <c r="D50" s="41"/>
      <c r="E50" s="41"/>
      <c r="F50" s="54"/>
      <c r="G50" s="45"/>
      <c r="H50" s="42"/>
      <c r="I50" s="42"/>
      <c r="J50" s="43">
        <f t="shared" si="1"/>
        <v>0</v>
      </c>
      <c r="K50" s="43">
        <f t="shared" si="0"/>
        <v>0</v>
      </c>
    </row>
    <row r="51" spans="2:11" x14ac:dyDescent="0.2">
      <c r="B51" s="40"/>
      <c r="C51" s="40"/>
      <c r="D51" s="41"/>
      <c r="E51" s="41"/>
      <c r="F51" s="54"/>
      <c r="G51" s="45"/>
      <c r="H51" s="42"/>
      <c r="I51" s="42"/>
      <c r="J51" s="43">
        <f t="shared" si="1"/>
        <v>0</v>
      </c>
      <c r="K51" s="43">
        <f t="shared" si="0"/>
        <v>0</v>
      </c>
    </row>
    <row r="52" spans="2:11" x14ac:dyDescent="0.2">
      <c r="B52" s="40"/>
      <c r="C52" s="40"/>
      <c r="D52" s="41"/>
      <c r="E52" s="41"/>
      <c r="F52" s="54"/>
      <c r="G52" s="45"/>
      <c r="H52" s="42"/>
      <c r="I52" s="42"/>
      <c r="J52" s="43">
        <f t="shared" si="1"/>
        <v>0</v>
      </c>
      <c r="K52" s="43">
        <f t="shared" si="0"/>
        <v>0</v>
      </c>
    </row>
    <row r="53" spans="2:11" x14ac:dyDescent="0.2">
      <c r="B53" s="40"/>
      <c r="C53" s="40"/>
      <c r="D53" s="41"/>
      <c r="E53" s="41"/>
      <c r="F53" s="54"/>
      <c r="G53" s="45"/>
      <c r="H53" s="42"/>
      <c r="I53" s="42"/>
      <c r="J53" s="43">
        <f t="shared" si="1"/>
        <v>0</v>
      </c>
      <c r="K53" s="43">
        <f t="shared" si="0"/>
        <v>0</v>
      </c>
    </row>
    <row r="54" spans="2:11" x14ac:dyDescent="0.2">
      <c r="B54" s="40"/>
      <c r="C54" s="40"/>
      <c r="D54" s="41"/>
      <c r="E54" s="41"/>
      <c r="F54" s="54"/>
      <c r="G54" s="45"/>
      <c r="H54" s="42"/>
      <c r="I54" s="42"/>
      <c r="J54" s="43">
        <f t="shared" si="1"/>
        <v>0</v>
      </c>
      <c r="K54" s="43">
        <f t="shared" si="0"/>
        <v>0</v>
      </c>
    </row>
    <row r="55" spans="2:11" x14ac:dyDescent="0.2">
      <c r="B55" s="40"/>
      <c r="C55" s="40"/>
      <c r="D55" s="41"/>
      <c r="E55" s="41"/>
      <c r="F55" s="54"/>
      <c r="G55" s="45"/>
      <c r="H55" s="42"/>
      <c r="I55" s="42"/>
      <c r="J55" s="43">
        <f t="shared" si="1"/>
        <v>0</v>
      </c>
      <c r="K55" s="43">
        <f t="shared" si="0"/>
        <v>0</v>
      </c>
    </row>
    <row r="56" spans="2:11" x14ac:dyDescent="0.2">
      <c r="B56" s="40"/>
      <c r="C56" s="40"/>
      <c r="D56" s="41"/>
      <c r="E56" s="41"/>
      <c r="F56" s="54"/>
      <c r="G56" s="45"/>
      <c r="H56" s="42"/>
      <c r="I56" s="42"/>
      <c r="J56" s="43">
        <f t="shared" si="1"/>
        <v>0</v>
      </c>
      <c r="K56" s="43">
        <f t="shared" si="0"/>
        <v>0</v>
      </c>
    </row>
    <row r="57" spans="2:11" x14ac:dyDescent="0.2">
      <c r="B57" s="40"/>
      <c r="C57" s="40"/>
      <c r="D57" s="41"/>
      <c r="E57" s="41"/>
      <c r="F57" s="54"/>
      <c r="G57" s="45"/>
      <c r="H57" s="42"/>
      <c r="I57" s="42"/>
      <c r="J57" s="43">
        <f t="shared" si="1"/>
        <v>0</v>
      </c>
      <c r="K57" s="43">
        <f t="shared" si="0"/>
        <v>0</v>
      </c>
    </row>
    <row r="58" spans="2:11" x14ac:dyDescent="0.2">
      <c r="B58" s="40"/>
      <c r="C58" s="40"/>
      <c r="D58" s="41"/>
      <c r="E58" s="41"/>
      <c r="F58" s="54"/>
      <c r="G58" s="45"/>
      <c r="H58" s="42"/>
      <c r="I58" s="42"/>
      <c r="J58" s="43">
        <f t="shared" si="1"/>
        <v>0</v>
      </c>
      <c r="K58" s="43">
        <f t="shared" si="0"/>
        <v>0</v>
      </c>
    </row>
    <row r="59" spans="2:11" x14ac:dyDescent="0.2">
      <c r="B59" s="40"/>
      <c r="C59" s="40"/>
      <c r="D59" s="41"/>
      <c r="E59" s="41"/>
      <c r="F59" s="54"/>
      <c r="G59" s="45"/>
      <c r="H59" s="42"/>
      <c r="I59" s="42"/>
      <c r="J59" s="43">
        <f t="shared" si="1"/>
        <v>0</v>
      </c>
      <c r="K59" s="43">
        <f t="shared" si="0"/>
        <v>0</v>
      </c>
    </row>
    <row r="60" spans="2:11" x14ac:dyDescent="0.2">
      <c r="B60" s="40"/>
      <c r="C60" s="40"/>
      <c r="D60" s="41"/>
      <c r="E60" s="41"/>
      <c r="F60" s="54"/>
      <c r="G60" s="45"/>
      <c r="H60" s="42"/>
      <c r="I60" s="42"/>
      <c r="J60" s="43">
        <f t="shared" si="1"/>
        <v>0</v>
      </c>
      <c r="K60" s="43">
        <f t="shared" si="0"/>
        <v>0</v>
      </c>
    </row>
    <row r="61" spans="2:11" x14ac:dyDescent="0.2">
      <c r="B61" s="40"/>
      <c r="C61" s="40"/>
      <c r="D61" s="41"/>
      <c r="E61" s="41"/>
      <c r="F61" s="54"/>
      <c r="G61" s="45"/>
      <c r="H61" s="42"/>
      <c r="I61" s="42"/>
      <c r="J61" s="43">
        <f t="shared" si="1"/>
        <v>0</v>
      </c>
      <c r="K61" s="43">
        <f t="shared" si="0"/>
        <v>0</v>
      </c>
    </row>
    <row r="62" spans="2:11" x14ac:dyDescent="0.2">
      <c r="B62" s="40"/>
      <c r="C62" s="40"/>
      <c r="D62" s="41"/>
      <c r="E62" s="41"/>
      <c r="F62" s="54"/>
      <c r="G62" s="45"/>
      <c r="H62" s="42"/>
      <c r="I62" s="42"/>
      <c r="J62" s="43">
        <f t="shared" si="1"/>
        <v>0</v>
      </c>
      <c r="K62" s="43">
        <f t="shared" si="0"/>
        <v>0</v>
      </c>
    </row>
    <row r="63" spans="2:11" x14ac:dyDescent="0.2">
      <c r="B63" s="40"/>
      <c r="C63" s="40"/>
      <c r="D63" s="41"/>
      <c r="E63" s="41"/>
      <c r="F63" s="54"/>
      <c r="G63" s="45"/>
      <c r="H63" s="42"/>
      <c r="I63" s="42"/>
      <c r="J63" s="43">
        <f t="shared" si="1"/>
        <v>0</v>
      </c>
      <c r="K63" s="43">
        <f t="shared" si="0"/>
        <v>0</v>
      </c>
    </row>
    <row r="64" spans="2:11" x14ac:dyDescent="0.2">
      <c r="B64" s="40"/>
      <c r="C64" s="40"/>
      <c r="D64" s="41"/>
      <c r="E64" s="41"/>
      <c r="F64" s="54"/>
      <c r="G64" s="45"/>
      <c r="H64" s="42"/>
      <c r="I64" s="42"/>
      <c r="J64" s="43">
        <f t="shared" si="1"/>
        <v>0</v>
      </c>
      <c r="K64" s="43">
        <f t="shared" si="0"/>
        <v>0</v>
      </c>
    </row>
    <row r="65" spans="2:11" x14ac:dyDescent="0.2">
      <c r="B65" s="40"/>
      <c r="C65" s="40"/>
      <c r="D65" s="41"/>
      <c r="E65" s="41"/>
      <c r="F65" s="54"/>
      <c r="G65" s="45"/>
      <c r="H65" s="42"/>
      <c r="I65" s="42"/>
      <c r="J65" s="43">
        <f t="shared" si="1"/>
        <v>0</v>
      </c>
      <c r="K65" s="43">
        <f t="shared" si="0"/>
        <v>0</v>
      </c>
    </row>
    <row r="66" spans="2:11" x14ac:dyDescent="0.2">
      <c r="B66" s="40"/>
      <c r="C66" s="40"/>
      <c r="D66" s="41"/>
      <c r="E66" s="41"/>
      <c r="F66" s="54"/>
      <c r="G66" s="45"/>
      <c r="H66" s="42"/>
      <c r="I66" s="42"/>
      <c r="J66" s="43">
        <f t="shared" si="1"/>
        <v>0</v>
      </c>
      <c r="K66" s="43">
        <f t="shared" si="0"/>
        <v>0</v>
      </c>
    </row>
    <row r="67" spans="2:11" x14ac:dyDescent="0.2">
      <c r="B67" s="40"/>
      <c r="C67" s="40"/>
      <c r="D67" s="41"/>
      <c r="E67" s="41"/>
      <c r="F67" s="54"/>
      <c r="G67" s="45"/>
      <c r="H67" s="42"/>
      <c r="I67" s="42"/>
      <c r="J67" s="43">
        <f t="shared" si="1"/>
        <v>0</v>
      </c>
      <c r="K67" s="43">
        <f t="shared" si="0"/>
        <v>0</v>
      </c>
    </row>
    <row r="68" spans="2:11" x14ac:dyDescent="0.2">
      <c r="B68" s="40"/>
      <c r="C68" s="40"/>
      <c r="D68" s="41"/>
      <c r="E68" s="41"/>
      <c r="F68" s="54"/>
      <c r="G68" s="45"/>
      <c r="H68" s="42"/>
      <c r="I68" s="42"/>
      <c r="J68" s="43">
        <f t="shared" si="1"/>
        <v>0</v>
      </c>
      <c r="K68" s="43">
        <f t="shared" si="0"/>
        <v>0</v>
      </c>
    </row>
    <row r="69" spans="2:11" x14ac:dyDescent="0.2">
      <c r="B69" s="40"/>
      <c r="C69" s="40"/>
      <c r="D69" s="41"/>
      <c r="E69" s="41"/>
      <c r="F69" s="54"/>
      <c r="G69" s="45"/>
      <c r="H69" s="42"/>
      <c r="I69" s="42"/>
      <c r="J69" s="43">
        <f t="shared" si="1"/>
        <v>0</v>
      </c>
      <c r="K69" s="43">
        <f t="shared" si="0"/>
        <v>0</v>
      </c>
    </row>
    <row r="70" spans="2:11" x14ac:dyDescent="0.2">
      <c r="B70" s="40"/>
      <c r="C70" s="40"/>
      <c r="D70" s="41"/>
      <c r="E70" s="41"/>
      <c r="F70" s="54"/>
      <c r="G70" s="45"/>
      <c r="H70" s="42"/>
      <c r="I70" s="42"/>
      <c r="J70" s="43">
        <f t="shared" si="1"/>
        <v>0</v>
      </c>
      <c r="K70" s="43">
        <f t="shared" si="0"/>
        <v>0</v>
      </c>
    </row>
    <row r="71" spans="2:11" x14ac:dyDescent="0.2">
      <c r="B71" s="40"/>
      <c r="C71" s="40"/>
      <c r="D71" s="41"/>
      <c r="E71" s="41"/>
      <c r="F71" s="54"/>
      <c r="G71" s="45"/>
      <c r="H71" s="42"/>
      <c r="I71" s="42"/>
      <c r="J71" s="43">
        <f t="shared" si="1"/>
        <v>0</v>
      </c>
      <c r="K71" s="43">
        <f t="shared" si="0"/>
        <v>0</v>
      </c>
    </row>
    <row r="72" spans="2:11" x14ac:dyDescent="0.2">
      <c r="B72" s="40"/>
      <c r="C72" s="40"/>
      <c r="D72" s="41"/>
      <c r="E72" s="41"/>
      <c r="F72" s="54"/>
      <c r="G72" s="45"/>
      <c r="H72" s="42"/>
      <c r="I72" s="42"/>
      <c r="J72" s="43">
        <f t="shared" si="1"/>
        <v>0</v>
      </c>
      <c r="K72" s="43">
        <f t="shared" si="0"/>
        <v>0</v>
      </c>
    </row>
    <row r="73" spans="2:11" x14ac:dyDescent="0.2">
      <c r="B73" s="40"/>
      <c r="C73" s="40"/>
      <c r="D73" s="41"/>
      <c r="E73" s="41"/>
      <c r="F73" s="54"/>
      <c r="G73" s="45"/>
      <c r="H73" s="42"/>
      <c r="I73" s="42"/>
      <c r="J73" s="43">
        <f t="shared" si="1"/>
        <v>0</v>
      </c>
      <c r="K73" s="43">
        <f t="shared" si="0"/>
        <v>0</v>
      </c>
    </row>
    <row r="74" spans="2:11" x14ac:dyDescent="0.2">
      <c r="B74" s="40"/>
      <c r="C74" s="40"/>
      <c r="D74" s="41"/>
      <c r="E74" s="41"/>
      <c r="F74" s="54"/>
      <c r="G74" s="45"/>
      <c r="H74" s="42"/>
      <c r="I74" s="42"/>
      <c r="J74" s="43">
        <f t="shared" ref="J74:J137" si="2">$G$10*H74</f>
        <v>0</v>
      </c>
      <c r="K74" s="43">
        <f t="shared" ref="K74:K137" si="3">$G$10*I74</f>
        <v>0</v>
      </c>
    </row>
    <row r="75" spans="2:11" x14ac:dyDescent="0.2">
      <c r="B75" s="40"/>
      <c r="C75" s="40"/>
      <c r="D75" s="41"/>
      <c r="E75" s="41"/>
      <c r="F75" s="54"/>
      <c r="G75" s="45"/>
      <c r="H75" s="42"/>
      <c r="I75" s="42"/>
      <c r="J75" s="43">
        <f t="shared" si="2"/>
        <v>0</v>
      </c>
      <c r="K75" s="43">
        <f t="shared" si="3"/>
        <v>0</v>
      </c>
    </row>
    <row r="76" spans="2:11" x14ac:dyDescent="0.2">
      <c r="B76" s="40"/>
      <c r="C76" s="40"/>
      <c r="D76" s="41"/>
      <c r="E76" s="41"/>
      <c r="F76" s="54"/>
      <c r="G76" s="45"/>
      <c r="H76" s="42"/>
      <c r="I76" s="42"/>
      <c r="J76" s="43">
        <f t="shared" si="2"/>
        <v>0</v>
      </c>
      <c r="K76" s="43">
        <f t="shared" si="3"/>
        <v>0</v>
      </c>
    </row>
    <row r="77" spans="2:11" x14ac:dyDescent="0.2">
      <c r="B77" s="40"/>
      <c r="C77" s="40"/>
      <c r="D77" s="41"/>
      <c r="E77" s="41"/>
      <c r="F77" s="54"/>
      <c r="G77" s="45"/>
      <c r="H77" s="42"/>
      <c r="I77" s="42"/>
      <c r="J77" s="43">
        <f t="shared" si="2"/>
        <v>0</v>
      </c>
      <c r="K77" s="43">
        <f t="shared" si="3"/>
        <v>0</v>
      </c>
    </row>
    <row r="78" spans="2:11" x14ac:dyDescent="0.2">
      <c r="B78" s="40"/>
      <c r="C78" s="40"/>
      <c r="D78" s="41"/>
      <c r="E78" s="41"/>
      <c r="F78" s="54"/>
      <c r="G78" s="45"/>
      <c r="H78" s="42"/>
      <c r="I78" s="42"/>
      <c r="J78" s="43">
        <f t="shared" si="2"/>
        <v>0</v>
      </c>
      <c r="K78" s="43">
        <f t="shared" si="3"/>
        <v>0</v>
      </c>
    </row>
    <row r="79" spans="2:11" x14ac:dyDescent="0.2">
      <c r="B79" s="40"/>
      <c r="C79" s="40"/>
      <c r="D79" s="41"/>
      <c r="E79" s="41"/>
      <c r="F79" s="54"/>
      <c r="G79" s="45"/>
      <c r="H79" s="42"/>
      <c r="I79" s="42"/>
      <c r="J79" s="43">
        <f t="shared" si="2"/>
        <v>0</v>
      </c>
      <c r="K79" s="43">
        <f t="shared" si="3"/>
        <v>0</v>
      </c>
    </row>
    <row r="80" spans="2:11" x14ac:dyDescent="0.2">
      <c r="B80" s="40"/>
      <c r="C80" s="40"/>
      <c r="D80" s="41"/>
      <c r="E80" s="41"/>
      <c r="F80" s="54"/>
      <c r="G80" s="45"/>
      <c r="H80" s="42"/>
      <c r="I80" s="42"/>
      <c r="J80" s="43">
        <f t="shared" si="2"/>
        <v>0</v>
      </c>
      <c r="K80" s="43">
        <f t="shared" si="3"/>
        <v>0</v>
      </c>
    </row>
    <row r="81" spans="2:11" x14ac:dyDescent="0.2">
      <c r="B81" s="40"/>
      <c r="C81" s="40"/>
      <c r="D81" s="41"/>
      <c r="E81" s="41"/>
      <c r="F81" s="54"/>
      <c r="G81" s="45"/>
      <c r="H81" s="42"/>
      <c r="I81" s="42"/>
      <c r="J81" s="43">
        <f t="shared" si="2"/>
        <v>0</v>
      </c>
      <c r="K81" s="43">
        <f t="shared" si="3"/>
        <v>0</v>
      </c>
    </row>
    <row r="82" spans="2:11" x14ac:dyDescent="0.2">
      <c r="B82" s="40"/>
      <c r="C82" s="40"/>
      <c r="D82" s="41"/>
      <c r="E82" s="41"/>
      <c r="F82" s="54"/>
      <c r="G82" s="45"/>
      <c r="H82" s="42"/>
      <c r="I82" s="42"/>
      <c r="J82" s="43">
        <f t="shared" si="2"/>
        <v>0</v>
      </c>
      <c r="K82" s="43">
        <f t="shared" si="3"/>
        <v>0</v>
      </c>
    </row>
    <row r="83" spans="2:11" x14ac:dyDescent="0.2">
      <c r="B83" s="40"/>
      <c r="C83" s="40"/>
      <c r="D83" s="41"/>
      <c r="E83" s="41"/>
      <c r="F83" s="54"/>
      <c r="G83" s="45"/>
      <c r="H83" s="42"/>
      <c r="I83" s="42"/>
      <c r="J83" s="43">
        <f t="shared" si="2"/>
        <v>0</v>
      </c>
      <c r="K83" s="43">
        <f t="shared" si="3"/>
        <v>0</v>
      </c>
    </row>
    <row r="84" spans="2:11" x14ac:dyDescent="0.2">
      <c r="B84" s="40"/>
      <c r="C84" s="40"/>
      <c r="D84" s="41"/>
      <c r="E84" s="41"/>
      <c r="F84" s="54"/>
      <c r="G84" s="45"/>
      <c r="H84" s="42"/>
      <c r="I84" s="42"/>
      <c r="J84" s="43">
        <f t="shared" si="2"/>
        <v>0</v>
      </c>
      <c r="K84" s="43">
        <f t="shared" si="3"/>
        <v>0</v>
      </c>
    </row>
    <row r="85" spans="2:11" x14ac:dyDescent="0.2">
      <c r="B85" s="40"/>
      <c r="C85" s="40"/>
      <c r="D85" s="41"/>
      <c r="E85" s="41"/>
      <c r="F85" s="54"/>
      <c r="G85" s="45"/>
      <c r="H85" s="42"/>
      <c r="I85" s="42"/>
      <c r="J85" s="43">
        <f t="shared" si="2"/>
        <v>0</v>
      </c>
      <c r="K85" s="43">
        <f t="shared" si="3"/>
        <v>0</v>
      </c>
    </row>
    <row r="86" spans="2:11" x14ac:dyDescent="0.2">
      <c r="B86" s="40"/>
      <c r="C86" s="40"/>
      <c r="D86" s="41"/>
      <c r="E86" s="41"/>
      <c r="F86" s="54"/>
      <c r="G86" s="45"/>
      <c r="H86" s="42"/>
      <c r="I86" s="42"/>
      <c r="J86" s="43">
        <f t="shared" si="2"/>
        <v>0</v>
      </c>
      <c r="K86" s="43">
        <f t="shared" si="3"/>
        <v>0</v>
      </c>
    </row>
    <row r="87" spans="2:11" x14ac:dyDescent="0.2">
      <c r="B87" s="40"/>
      <c r="C87" s="40"/>
      <c r="D87" s="41"/>
      <c r="E87" s="41"/>
      <c r="F87" s="54"/>
      <c r="G87" s="45"/>
      <c r="H87" s="42"/>
      <c r="I87" s="42"/>
      <c r="J87" s="43">
        <f t="shared" si="2"/>
        <v>0</v>
      </c>
      <c r="K87" s="43">
        <f t="shared" si="3"/>
        <v>0</v>
      </c>
    </row>
    <row r="88" spans="2:11" x14ac:dyDescent="0.2">
      <c r="B88" s="40"/>
      <c r="C88" s="40"/>
      <c r="D88" s="41"/>
      <c r="E88" s="41"/>
      <c r="F88" s="54"/>
      <c r="G88" s="45"/>
      <c r="H88" s="42"/>
      <c r="I88" s="42"/>
      <c r="J88" s="43">
        <f t="shared" si="2"/>
        <v>0</v>
      </c>
      <c r="K88" s="43">
        <f t="shared" si="3"/>
        <v>0</v>
      </c>
    </row>
    <row r="89" spans="2:11" x14ac:dyDescent="0.2">
      <c r="B89" s="40"/>
      <c r="C89" s="40"/>
      <c r="D89" s="41"/>
      <c r="E89" s="41"/>
      <c r="F89" s="54"/>
      <c r="G89" s="45"/>
      <c r="H89" s="42"/>
      <c r="I89" s="42"/>
      <c r="J89" s="43">
        <f t="shared" si="2"/>
        <v>0</v>
      </c>
      <c r="K89" s="43">
        <f t="shared" si="3"/>
        <v>0</v>
      </c>
    </row>
    <row r="90" spans="2:11" x14ac:dyDescent="0.2">
      <c r="B90" s="40"/>
      <c r="C90" s="40"/>
      <c r="D90" s="41"/>
      <c r="E90" s="41"/>
      <c r="F90" s="54"/>
      <c r="G90" s="45"/>
      <c r="H90" s="42"/>
      <c r="I90" s="42"/>
      <c r="J90" s="43">
        <f t="shared" si="2"/>
        <v>0</v>
      </c>
      <c r="K90" s="43">
        <f t="shared" si="3"/>
        <v>0</v>
      </c>
    </row>
    <row r="91" spans="2:11" x14ac:dyDescent="0.2">
      <c r="B91" s="40"/>
      <c r="C91" s="40"/>
      <c r="D91" s="41"/>
      <c r="E91" s="41"/>
      <c r="F91" s="54"/>
      <c r="G91" s="45"/>
      <c r="H91" s="42"/>
      <c r="I91" s="42"/>
      <c r="J91" s="43">
        <f t="shared" si="2"/>
        <v>0</v>
      </c>
      <c r="K91" s="43">
        <f t="shared" si="3"/>
        <v>0</v>
      </c>
    </row>
    <row r="92" spans="2:11" x14ac:dyDescent="0.2">
      <c r="B92" s="40"/>
      <c r="C92" s="40"/>
      <c r="D92" s="41"/>
      <c r="E92" s="41"/>
      <c r="F92" s="54"/>
      <c r="G92" s="45"/>
      <c r="H92" s="42"/>
      <c r="I92" s="42"/>
      <c r="J92" s="43">
        <f t="shared" si="2"/>
        <v>0</v>
      </c>
      <c r="K92" s="43">
        <f t="shared" si="3"/>
        <v>0</v>
      </c>
    </row>
    <row r="93" spans="2:11" x14ac:dyDescent="0.2">
      <c r="B93" s="40"/>
      <c r="C93" s="40"/>
      <c r="D93" s="41"/>
      <c r="E93" s="41"/>
      <c r="F93" s="54"/>
      <c r="G93" s="45"/>
      <c r="H93" s="42"/>
      <c r="I93" s="42"/>
      <c r="J93" s="43">
        <f t="shared" si="2"/>
        <v>0</v>
      </c>
      <c r="K93" s="43">
        <f t="shared" si="3"/>
        <v>0</v>
      </c>
    </row>
    <row r="94" spans="2:11" x14ac:dyDescent="0.2">
      <c r="B94" s="40"/>
      <c r="C94" s="40"/>
      <c r="D94" s="41"/>
      <c r="E94" s="41"/>
      <c r="F94" s="54"/>
      <c r="G94" s="45"/>
      <c r="H94" s="42"/>
      <c r="I94" s="42"/>
      <c r="J94" s="43">
        <f t="shared" si="2"/>
        <v>0</v>
      </c>
      <c r="K94" s="43">
        <f t="shared" si="3"/>
        <v>0</v>
      </c>
    </row>
    <row r="95" spans="2:11" x14ac:dyDescent="0.2">
      <c r="B95" s="40"/>
      <c r="C95" s="40"/>
      <c r="D95" s="41"/>
      <c r="E95" s="41"/>
      <c r="F95" s="54"/>
      <c r="G95" s="45"/>
      <c r="H95" s="42"/>
      <c r="I95" s="42"/>
      <c r="J95" s="43">
        <f t="shared" si="2"/>
        <v>0</v>
      </c>
      <c r="K95" s="43">
        <f t="shared" si="3"/>
        <v>0</v>
      </c>
    </row>
    <row r="96" spans="2:11" x14ac:dyDescent="0.2">
      <c r="B96" s="40"/>
      <c r="C96" s="40"/>
      <c r="D96" s="41"/>
      <c r="E96" s="41"/>
      <c r="F96" s="54"/>
      <c r="G96" s="45"/>
      <c r="H96" s="42"/>
      <c r="I96" s="42"/>
      <c r="J96" s="43">
        <f t="shared" si="2"/>
        <v>0</v>
      </c>
      <c r="K96" s="43">
        <f t="shared" si="3"/>
        <v>0</v>
      </c>
    </row>
    <row r="97" spans="2:11" x14ac:dyDescent="0.2">
      <c r="B97" s="40"/>
      <c r="C97" s="40"/>
      <c r="D97" s="41"/>
      <c r="E97" s="41"/>
      <c r="F97" s="54"/>
      <c r="G97" s="45"/>
      <c r="H97" s="42"/>
      <c r="I97" s="42"/>
      <c r="J97" s="43">
        <f t="shared" si="2"/>
        <v>0</v>
      </c>
      <c r="K97" s="43">
        <f t="shared" si="3"/>
        <v>0</v>
      </c>
    </row>
    <row r="98" spans="2:11" x14ac:dyDescent="0.2">
      <c r="B98" s="40"/>
      <c r="C98" s="40"/>
      <c r="D98" s="41"/>
      <c r="E98" s="41"/>
      <c r="F98" s="54"/>
      <c r="G98" s="45"/>
      <c r="H98" s="42"/>
      <c r="I98" s="42"/>
      <c r="J98" s="43">
        <f t="shared" si="2"/>
        <v>0</v>
      </c>
      <c r="K98" s="43">
        <f t="shared" si="3"/>
        <v>0</v>
      </c>
    </row>
    <row r="99" spans="2:11" x14ac:dyDescent="0.2">
      <c r="B99" s="40"/>
      <c r="C99" s="40"/>
      <c r="D99" s="41"/>
      <c r="E99" s="41"/>
      <c r="F99" s="54"/>
      <c r="G99" s="45"/>
      <c r="H99" s="42"/>
      <c r="I99" s="42"/>
      <c r="J99" s="43">
        <f t="shared" si="2"/>
        <v>0</v>
      </c>
      <c r="K99" s="43">
        <f t="shared" si="3"/>
        <v>0</v>
      </c>
    </row>
    <row r="100" spans="2:11" x14ac:dyDescent="0.2">
      <c r="B100" s="40"/>
      <c r="C100" s="40"/>
      <c r="D100" s="41"/>
      <c r="E100" s="41"/>
      <c r="F100" s="54"/>
      <c r="G100" s="45"/>
      <c r="H100" s="42"/>
      <c r="I100" s="42"/>
      <c r="J100" s="43">
        <f t="shared" si="2"/>
        <v>0</v>
      </c>
      <c r="K100" s="43">
        <f t="shared" si="3"/>
        <v>0</v>
      </c>
    </row>
    <row r="101" spans="2:11" x14ac:dyDescent="0.2">
      <c r="B101" s="40"/>
      <c r="C101" s="40"/>
      <c r="D101" s="41"/>
      <c r="E101" s="41"/>
      <c r="F101" s="54"/>
      <c r="G101" s="45"/>
      <c r="H101" s="42"/>
      <c r="I101" s="42"/>
      <c r="J101" s="43">
        <f t="shared" si="2"/>
        <v>0</v>
      </c>
      <c r="K101" s="43">
        <f t="shared" si="3"/>
        <v>0</v>
      </c>
    </row>
    <row r="102" spans="2:11" x14ac:dyDescent="0.2">
      <c r="B102" s="40"/>
      <c r="C102" s="40"/>
      <c r="D102" s="41"/>
      <c r="E102" s="41"/>
      <c r="F102" s="54"/>
      <c r="G102" s="45"/>
      <c r="H102" s="42"/>
      <c r="I102" s="42"/>
      <c r="J102" s="43">
        <f t="shared" si="2"/>
        <v>0</v>
      </c>
      <c r="K102" s="43">
        <f t="shared" si="3"/>
        <v>0</v>
      </c>
    </row>
    <row r="103" spans="2:11" x14ac:dyDescent="0.2">
      <c r="B103" s="40"/>
      <c r="C103" s="40"/>
      <c r="D103" s="41"/>
      <c r="E103" s="41"/>
      <c r="F103" s="54"/>
      <c r="G103" s="45"/>
      <c r="H103" s="42"/>
      <c r="I103" s="42"/>
      <c r="J103" s="43">
        <f t="shared" si="2"/>
        <v>0</v>
      </c>
      <c r="K103" s="43">
        <f t="shared" si="3"/>
        <v>0</v>
      </c>
    </row>
    <row r="104" spans="2:11" x14ac:dyDescent="0.2">
      <c r="B104" s="40"/>
      <c r="C104" s="40"/>
      <c r="D104" s="41"/>
      <c r="E104" s="41"/>
      <c r="F104" s="54"/>
      <c r="G104" s="45"/>
      <c r="H104" s="42"/>
      <c r="I104" s="42"/>
      <c r="J104" s="43">
        <f t="shared" si="2"/>
        <v>0</v>
      </c>
      <c r="K104" s="43">
        <f t="shared" si="3"/>
        <v>0</v>
      </c>
    </row>
    <row r="105" spans="2:11" x14ac:dyDescent="0.2">
      <c r="B105" s="40"/>
      <c r="C105" s="40"/>
      <c r="D105" s="41"/>
      <c r="E105" s="41"/>
      <c r="F105" s="54"/>
      <c r="G105" s="45"/>
      <c r="H105" s="42"/>
      <c r="I105" s="42"/>
      <c r="J105" s="43">
        <f t="shared" si="2"/>
        <v>0</v>
      </c>
      <c r="K105" s="43">
        <f t="shared" si="3"/>
        <v>0</v>
      </c>
    </row>
    <row r="106" spans="2:11" x14ac:dyDescent="0.2">
      <c r="B106" s="40"/>
      <c r="C106" s="40"/>
      <c r="D106" s="41"/>
      <c r="E106" s="41"/>
      <c r="F106" s="54"/>
      <c r="G106" s="45"/>
      <c r="H106" s="42"/>
      <c r="I106" s="42"/>
      <c r="J106" s="43">
        <f t="shared" si="2"/>
        <v>0</v>
      </c>
      <c r="K106" s="43">
        <f t="shared" si="3"/>
        <v>0</v>
      </c>
    </row>
    <row r="107" spans="2:11" x14ac:dyDescent="0.2">
      <c r="B107" s="40"/>
      <c r="C107" s="40"/>
      <c r="D107" s="41"/>
      <c r="E107" s="41"/>
      <c r="F107" s="54"/>
      <c r="G107" s="45"/>
      <c r="H107" s="42"/>
      <c r="I107" s="42"/>
      <c r="J107" s="43">
        <f t="shared" si="2"/>
        <v>0</v>
      </c>
      <c r="K107" s="43">
        <f t="shared" si="3"/>
        <v>0</v>
      </c>
    </row>
    <row r="108" spans="2:11" x14ac:dyDescent="0.2">
      <c r="B108" s="40"/>
      <c r="C108" s="40"/>
      <c r="D108" s="41"/>
      <c r="E108" s="41"/>
      <c r="F108" s="54"/>
      <c r="G108" s="45"/>
      <c r="H108" s="42"/>
      <c r="I108" s="42"/>
      <c r="J108" s="43">
        <f t="shared" si="2"/>
        <v>0</v>
      </c>
      <c r="K108" s="43">
        <f t="shared" si="3"/>
        <v>0</v>
      </c>
    </row>
    <row r="109" spans="2:11" x14ac:dyDescent="0.2">
      <c r="B109" s="40"/>
      <c r="C109" s="40"/>
      <c r="D109" s="41"/>
      <c r="E109" s="41"/>
      <c r="F109" s="54"/>
      <c r="G109" s="45"/>
      <c r="H109" s="42"/>
      <c r="I109" s="42"/>
      <c r="J109" s="43">
        <f t="shared" si="2"/>
        <v>0</v>
      </c>
      <c r="K109" s="43">
        <f t="shared" si="3"/>
        <v>0</v>
      </c>
    </row>
    <row r="110" spans="2:11" x14ac:dyDescent="0.2">
      <c r="B110" s="40"/>
      <c r="C110" s="40"/>
      <c r="D110" s="41"/>
      <c r="E110" s="41"/>
      <c r="F110" s="54"/>
      <c r="G110" s="45"/>
      <c r="H110" s="42"/>
      <c r="I110" s="42"/>
      <c r="J110" s="43">
        <f t="shared" si="2"/>
        <v>0</v>
      </c>
      <c r="K110" s="43">
        <f t="shared" si="3"/>
        <v>0</v>
      </c>
    </row>
    <row r="111" spans="2:11" x14ac:dyDescent="0.2">
      <c r="B111" s="40"/>
      <c r="C111" s="40"/>
      <c r="D111" s="41"/>
      <c r="E111" s="41"/>
      <c r="F111" s="54"/>
      <c r="G111" s="45"/>
      <c r="H111" s="42"/>
      <c r="I111" s="42"/>
      <c r="J111" s="43">
        <f t="shared" si="2"/>
        <v>0</v>
      </c>
      <c r="K111" s="43">
        <f t="shared" si="3"/>
        <v>0</v>
      </c>
    </row>
    <row r="112" spans="2:11" x14ac:dyDescent="0.2">
      <c r="B112" s="40"/>
      <c r="C112" s="40"/>
      <c r="D112" s="41"/>
      <c r="E112" s="41"/>
      <c r="F112" s="54"/>
      <c r="G112" s="45"/>
      <c r="H112" s="42"/>
      <c r="I112" s="42"/>
      <c r="J112" s="43">
        <f t="shared" si="2"/>
        <v>0</v>
      </c>
      <c r="K112" s="43">
        <f t="shared" si="3"/>
        <v>0</v>
      </c>
    </row>
    <row r="113" spans="2:11" x14ac:dyDescent="0.2">
      <c r="B113" s="40"/>
      <c r="C113" s="40"/>
      <c r="D113" s="41"/>
      <c r="E113" s="41"/>
      <c r="F113" s="54"/>
      <c r="G113" s="45"/>
      <c r="H113" s="42"/>
      <c r="I113" s="42"/>
      <c r="J113" s="43">
        <f t="shared" si="2"/>
        <v>0</v>
      </c>
      <c r="K113" s="43">
        <f t="shared" si="3"/>
        <v>0</v>
      </c>
    </row>
    <row r="114" spans="2:11" x14ac:dyDescent="0.2">
      <c r="B114" s="40"/>
      <c r="C114" s="40"/>
      <c r="D114" s="41"/>
      <c r="E114" s="41"/>
      <c r="F114" s="54"/>
      <c r="G114" s="45"/>
      <c r="H114" s="42"/>
      <c r="I114" s="42"/>
      <c r="J114" s="43">
        <f t="shared" si="2"/>
        <v>0</v>
      </c>
      <c r="K114" s="43">
        <f t="shared" si="3"/>
        <v>0</v>
      </c>
    </row>
    <row r="115" spans="2:11" x14ac:dyDescent="0.2">
      <c r="B115" s="40"/>
      <c r="C115" s="40"/>
      <c r="D115" s="41"/>
      <c r="E115" s="41"/>
      <c r="F115" s="54"/>
      <c r="G115" s="45"/>
      <c r="H115" s="42"/>
      <c r="I115" s="42"/>
      <c r="J115" s="43">
        <f t="shared" si="2"/>
        <v>0</v>
      </c>
      <c r="K115" s="43">
        <f t="shared" si="3"/>
        <v>0</v>
      </c>
    </row>
    <row r="116" spans="2:11" x14ac:dyDescent="0.2">
      <c r="B116" s="40"/>
      <c r="C116" s="40"/>
      <c r="D116" s="41"/>
      <c r="E116" s="41"/>
      <c r="F116" s="54"/>
      <c r="G116" s="45"/>
      <c r="H116" s="42"/>
      <c r="I116" s="42"/>
      <c r="J116" s="43">
        <f t="shared" si="2"/>
        <v>0</v>
      </c>
      <c r="K116" s="43">
        <f t="shared" si="3"/>
        <v>0</v>
      </c>
    </row>
    <row r="117" spans="2:11" x14ac:dyDescent="0.2">
      <c r="B117" s="40"/>
      <c r="C117" s="40"/>
      <c r="D117" s="41"/>
      <c r="E117" s="41"/>
      <c r="F117" s="54"/>
      <c r="G117" s="45"/>
      <c r="H117" s="42"/>
      <c r="I117" s="42"/>
      <c r="J117" s="43">
        <f t="shared" si="2"/>
        <v>0</v>
      </c>
      <c r="K117" s="43">
        <f t="shared" si="3"/>
        <v>0</v>
      </c>
    </row>
    <row r="118" spans="2:11" x14ac:dyDescent="0.2">
      <c r="B118" s="40"/>
      <c r="C118" s="40"/>
      <c r="D118" s="41"/>
      <c r="E118" s="41"/>
      <c r="F118" s="54"/>
      <c r="G118" s="45"/>
      <c r="H118" s="42"/>
      <c r="I118" s="42"/>
      <c r="J118" s="43">
        <f t="shared" si="2"/>
        <v>0</v>
      </c>
      <c r="K118" s="43">
        <f t="shared" si="3"/>
        <v>0</v>
      </c>
    </row>
    <row r="119" spans="2:11" x14ac:dyDescent="0.2">
      <c r="B119" s="40"/>
      <c r="C119" s="40"/>
      <c r="D119" s="41"/>
      <c r="E119" s="41"/>
      <c r="F119" s="54"/>
      <c r="G119" s="45"/>
      <c r="H119" s="42"/>
      <c r="I119" s="42"/>
      <c r="J119" s="43">
        <f t="shared" si="2"/>
        <v>0</v>
      </c>
      <c r="K119" s="43">
        <f t="shared" si="3"/>
        <v>0</v>
      </c>
    </row>
    <row r="120" spans="2:11" x14ac:dyDescent="0.2">
      <c r="B120" s="40"/>
      <c r="C120" s="40"/>
      <c r="D120" s="41"/>
      <c r="E120" s="41"/>
      <c r="F120" s="54"/>
      <c r="G120" s="45"/>
      <c r="H120" s="42"/>
      <c r="I120" s="42"/>
      <c r="J120" s="43">
        <f t="shared" si="2"/>
        <v>0</v>
      </c>
      <c r="K120" s="43">
        <f t="shared" si="3"/>
        <v>0</v>
      </c>
    </row>
    <row r="121" spans="2:11" x14ac:dyDescent="0.2">
      <c r="B121" s="40"/>
      <c r="C121" s="40"/>
      <c r="D121" s="41"/>
      <c r="E121" s="41"/>
      <c r="F121" s="54"/>
      <c r="G121" s="45"/>
      <c r="H121" s="42"/>
      <c r="I121" s="42"/>
      <c r="J121" s="43">
        <f t="shared" si="2"/>
        <v>0</v>
      </c>
      <c r="K121" s="43">
        <f t="shared" si="3"/>
        <v>0</v>
      </c>
    </row>
    <row r="122" spans="2:11" x14ac:dyDescent="0.2">
      <c r="B122" s="40"/>
      <c r="C122" s="40"/>
      <c r="D122" s="41"/>
      <c r="E122" s="41"/>
      <c r="F122" s="54"/>
      <c r="G122" s="45"/>
      <c r="H122" s="42"/>
      <c r="I122" s="42"/>
      <c r="J122" s="43">
        <f t="shared" si="2"/>
        <v>0</v>
      </c>
      <c r="K122" s="43">
        <f t="shared" si="3"/>
        <v>0</v>
      </c>
    </row>
    <row r="123" spans="2:11" x14ac:dyDescent="0.2">
      <c r="B123" s="40"/>
      <c r="C123" s="40"/>
      <c r="D123" s="41"/>
      <c r="E123" s="41"/>
      <c r="F123" s="54"/>
      <c r="G123" s="45"/>
      <c r="H123" s="42"/>
      <c r="I123" s="42"/>
      <c r="J123" s="43">
        <f t="shared" si="2"/>
        <v>0</v>
      </c>
      <c r="K123" s="43">
        <f t="shared" si="3"/>
        <v>0</v>
      </c>
    </row>
    <row r="124" spans="2:11" x14ac:dyDescent="0.2">
      <c r="B124" s="40"/>
      <c r="C124" s="40"/>
      <c r="D124" s="41"/>
      <c r="E124" s="41"/>
      <c r="F124" s="54"/>
      <c r="G124" s="45"/>
      <c r="H124" s="42"/>
      <c r="I124" s="42"/>
      <c r="J124" s="43">
        <f t="shared" si="2"/>
        <v>0</v>
      </c>
      <c r="K124" s="43">
        <f t="shared" si="3"/>
        <v>0</v>
      </c>
    </row>
    <row r="125" spans="2:11" x14ac:dyDescent="0.2">
      <c r="B125" s="40"/>
      <c r="C125" s="40"/>
      <c r="D125" s="41"/>
      <c r="E125" s="41"/>
      <c r="F125" s="54"/>
      <c r="G125" s="45"/>
      <c r="H125" s="42"/>
      <c r="I125" s="42"/>
      <c r="J125" s="43">
        <f t="shared" si="2"/>
        <v>0</v>
      </c>
      <c r="K125" s="43">
        <f t="shared" si="3"/>
        <v>0</v>
      </c>
    </row>
    <row r="126" spans="2:11" x14ac:dyDescent="0.2">
      <c r="B126" s="40"/>
      <c r="C126" s="40"/>
      <c r="D126" s="41"/>
      <c r="E126" s="41"/>
      <c r="F126" s="54"/>
      <c r="G126" s="45"/>
      <c r="H126" s="42"/>
      <c r="I126" s="42"/>
      <c r="J126" s="43">
        <f t="shared" si="2"/>
        <v>0</v>
      </c>
      <c r="K126" s="43">
        <f t="shared" si="3"/>
        <v>0</v>
      </c>
    </row>
    <row r="127" spans="2:11" x14ac:dyDescent="0.2">
      <c r="B127" s="40"/>
      <c r="C127" s="40"/>
      <c r="D127" s="41"/>
      <c r="E127" s="41"/>
      <c r="F127" s="54"/>
      <c r="G127" s="45"/>
      <c r="H127" s="42"/>
      <c r="I127" s="42"/>
      <c r="J127" s="43">
        <f t="shared" si="2"/>
        <v>0</v>
      </c>
      <c r="K127" s="43">
        <f t="shared" si="3"/>
        <v>0</v>
      </c>
    </row>
    <row r="128" spans="2:11" x14ac:dyDescent="0.2">
      <c r="B128" s="40"/>
      <c r="C128" s="40"/>
      <c r="D128" s="41"/>
      <c r="E128" s="41"/>
      <c r="F128" s="54"/>
      <c r="G128" s="45"/>
      <c r="H128" s="42"/>
      <c r="I128" s="42"/>
      <c r="J128" s="43">
        <f t="shared" si="2"/>
        <v>0</v>
      </c>
      <c r="K128" s="43">
        <f t="shared" si="3"/>
        <v>0</v>
      </c>
    </row>
    <row r="129" spans="2:11" x14ac:dyDescent="0.2">
      <c r="B129" s="40"/>
      <c r="C129" s="40"/>
      <c r="D129" s="41"/>
      <c r="E129" s="41"/>
      <c r="F129" s="54"/>
      <c r="G129" s="45"/>
      <c r="H129" s="42"/>
      <c r="I129" s="42"/>
      <c r="J129" s="43">
        <f t="shared" si="2"/>
        <v>0</v>
      </c>
      <c r="K129" s="43">
        <f t="shared" si="3"/>
        <v>0</v>
      </c>
    </row>
    <row r="130" spans="2:11" x14ac:dyDescent="0.2">
      <c r="B130" s="40"/>
      <c r="C130" s="40"/>
      <c r="D130" s="41"/>
      <c r="E130" s="41"/>
      <c r="F130" s="54"/>
      <c r="G130" s="45"/>
      <c r="H130" s="42"/>
      <c r="I130" s="42"/>
      <c r="J130" s="43">
        <f t="shared" si="2"/>
        <v>0</v>
      </c>
      <c r="K130" s="43">
        <f t="shared" si="3"/>
        <v>0</v>
      </c>
    </row>
    <row r="131" spans="2:11" x14ac:dyDescent="0.2">
      <c r="B131" s="40"/>
      <c r="C131" s="40"/>
      <c r="D131" s="41"/>
      <c r="E131" s="41"/>
      <c r="F131" s="54"/>
      <c r="G131" s="45"/>
      <c r="H131" s="42"/>
      <c r="I131" s="42"/>
      <c r="J131" s="43">
        <f t="shared" si="2"/>
        <v>0</v>
      </c>
      <c r="K131" s="43">
        <f t="shared" si="3"/>
        <v>0</v>
      </c>
    </row>
    <row r="132" spans="2:11" x14ac:dyDescent="0.2">
      <c r="B132" s="40"/>
      <c r="C132" s="40"/>
      <c r="D132" s="41"/>
      <c r="E132" s="41"/>
      <c r="F132" s="54"/>
      <c r="G132" s="45"/>
      <c r="H132" s="42"/>
      <c r="I132" s="42"/>
      <c r="J132" s="43">
        <f t="shared" si="2"/>
        <v>0</v>
      </c>
      <c r="K132" s="43">
        <f t="shared" si="3"/>
        <v>0</v>
      </c>
    </row>
    <row r="133" spans="2:11" x14ac:dyDescent="0.2">
      <c r="B133" s="40"/>
      <c r="C133" s="40"/>
      <c r="D133" s="41"/>
      <c r="E133" s="41"/>
      <c r="F133" s="54"/>
      <c r="G133" s="45"/>
      <c r="H133" s="42"/>
      <c r="I133" s="42"/>
      <c r="J133" s="43">
        <f t="shared" si="2"/>
        <v>0</v>
      </c>
      <c r="K133" s="43">
        <f t="shared" si="3"/>
        <v>0</v>
      </c>
    </row>
    <row r="134" spans="2:11" x14ac:dyDescent="0.2">
      <c r="B134" s="40"/>
      <c r="C134" s="40"/>
      <c r="D134" s="41"/>
      <c r="E134" s="41"/>
      <c r="F134" s="54"/>
      <c r="G134" s="45"/>
      <c r="H134" s="42"/>
      <c r="I134" s="42"/>
      <c r="J134" s="43">
        <f t="shared" si="2"/>
        <v>0</v>
      </c>
      <c r="K134" s="43">
        <f t="shared" si="3"/>
        <v>0</v>
      </c>
    </row>
    <row r="135" spans="2:11" x14ac:dyDescent="0.2">
      <c r="B135" s="40"/>
      <c r="C135" s="40"/>
      <c r="D135" s="41"/>
      <c r="E135" s="41"/>
      <c r="F135" s="54"/>
      <c r="G135" s="45"/>
      <c r="H135" s="42"/>
      <c r="I135" s="42"/>
      <c r="J135" s="43">
        <f t="shared" si="2"/>
        <v>0</v>
      </c>
      <c r="K135" s="43">
        <f t="shared" si="3"/>
        <v>0</v>
      </c>
    </row>
    <row r="136" spans="2:11" x14ac:dyDescent="0.2">
      <c r="B136" s="40"/>
      <c r="C136" s="40"/>
      <c r="D136" s="41"/>
      <c r="E136" s="41"/>
      <c r="F136" s="54"/>
      <c r="G136" s="45"/>
      <c r="H136" s="42"/>
      <c r="I136" s="42"/>
      <c r="J136" s="43">
        <f t="shared" si="2"/>
        <v>0</v>
      </c>
      <c r="K136" s="43">
        <f t="shared" si="3"/>
        <v>0</v>
      </c>
    </row>
    <row r="137" spans="2:11" x14ac:dyDescent="0.2">
      <c r="B137" s="40"/>
      <c r="C137" s="40"/>
      <c r="D137" s="41"/>
      <c r="E137" s="41"/>
      <c r="F137" s="54"/>
      <c r="G137" s="45"/>
      <c r="H137" s="42"/>
      <c r="I137" s="42"/>
      <c r="J137" s="43">
        <f t="shared" si="2"/>
        <v>0</v>
      </c>
      <c r="K137" s="43">
        <f t="shared" si="3"/>
        <v>0</v>
      </c>
    </row>
    <row r="138" spans="2:11" x14ac:dyDescent="0.2">
      <c r="B138" s="40"/>
      <c r="C138" s="40"/>
      <c r="D138" s="41"/>
      <c r="E138" s="41"/>
      <c r="F138" s="54"/>
      <c r="G138" s="45"/>
      <c r="H138" s="42"/>
      <c r="I138" s="42"/>
      <c r="J138" s="43">
        <f t="shared" ref="J138:J201" si="4">$G$10*H138</f>
        <v>0</v>
      </c>
      <c r="K138" s="43">
        <f t="shared" ref="K138:K201" si="5">$G$10*I138</f>
        <v>0</v>
      </c>
    </row>
    <row r="139" spans="2:11" x14ac:dyDescent="0.2">
      <c r="B139" s="40"/>
      <c r="C139" s="40"/>
      <c r="D139" s="41"/>
      <c r="E139" s="41"/>
      <c r="F139" s="54"/>
      <c r="G139" s="45"/>
      <c r="H139" s="42"/>
      <c r="I139" s="42"/>
      <c r="J139" s="43">
        <f t="shared" si="4"/>
        <v>0</v>
      </c>
      <c r="K139" s="43">
        <f t="shared" si="5"/>
        <v>0</v>
      </c>
    </row>
    <row r="140" spans="2:11" x14ac:dyDescent="0.2">
      <c r="B140" s="40"/>
      <c r="C140" s="40"/>
      <c r="D140" s="41"/>
      <c r="E140" s="41"/>
      <c r="F140" s="54"/>
      <c r="G140" s="45"/>
      <c r="H140" s="42"/>
      <c r="I140" s="42"/>
      <c r="J140" s="43">
        <f t="shared" si="4"/>
        <v>0</v>
      </c>
      <c r="K140" s="43">
        <f t="shared" si="5"/>
        <v>0</v>
      </c>
    </row>
    <row r="141" spans="2:11" x14ac:dyDescent="0.2">
      <c r="B141" s="40"/>
      <c r="C141" s="40"/>
      <c r="D141" s="41"/>
      <c r="E141" s="41"/>
      <c r="F141" s="54"/>
      <c r="G141" s="45"/>
      <c r="H141" s="42"/>
      <c r="I141" s="42"/>
      <c r="J141" s="43">
        <f t="shared" si="4"/>
        <v>0</v>
      </c>
      <c r="K141" s="43">
        <f t="shared" si="5"/>
        <v>0</v>
      </c>
    </row>
    <row r="142" spans="2:11" x14ac:dyDescent="0.2">
      <c r="B142" s="40"/>
      <c r="C142" s="40"/>
      <c r="D142" s="41"/>
      <c r="E142" s="41"/>
      <c r="F142" s="54"/>
      <c r="G142" s="45"/>
      <c r="H142" s="42"/>
      <c r="I142" s="42"/>
      <c r="J142" s="43">
        <f t="shared" si="4"/>
        <v>0</v>
      </c>
      <c r="K142" s="43">
        <f t="shared" si="5"/>
        <v>0</v>
      </c>
    </row>
    <row r="143" spans="2:11" x14ac:dyDescent="0.2">
      <c r="B143" s="40"/>
      <c r="C143" s="40"/>
      <c r="D143" s="41"/>
      <c r="E143" s="41"/>
      <c r="F143" s="54"/>
      <c r="G143" s="45"/>
      <c r="H143" s="42"/>
      <c r="I143" s="42"/>
      <c r="J143" s="43">
        <f t="shared" si="4"/>
        <v>0</v>
      </c>
      <c r="K143" s="43">
        <f t="shared" si="5"/>
        <v>0</v>
      </c>
    </row>
    <row r="144" spans="2:11" x14ac:dyDescent="0.2">
      <c r="B144" s="40"/>
      <c r="C144" s="40"/>
      <c r="D144" s="41"/>
      <c r="E144" s="41"/>
      <c r="F144" s="54"/>
      <c r="G144" s="45"/>
      <c r="H144" s="42"/>
      <c r="I144" s="42"/>
      <c r="J144" s="43">
        <f t="shared" si="4"/>
        <v>0</v>
      </c>
      <c r="K144" s="43">
        <f t="shared" si="5"/>
        <v>0</v>
      </c>
    </row>
    <row r="145" spans="2:11" x14ac:dyDescent="0.2">
      <c r="B145" s="40"/>
      <c r="C145" s="40"/>
      <c r="D145" s="41"/>
      <c r="E145" s="41"/>
      <c r="F145" s="54"/>
      <c r="G145" s="45"/>
      <c r="H145" s="42"/>
      <c r="I145" s="42"/>
      <c r="J145" s="43">
        <f t="shared" si="4"/>
        <v>0</v>
      </c>
      <c r="K145" s="43">
        <f t="shared" si="5"/>
        <v>0</v>
      </c>
    </row>
    <row r="146" spans="2:11" x14ac:dyDescent="0.2">
      <c r="B146" s="40"/>
      <c r="C146" s="40"/>
      <c r="D146" s="41"/>
      <c r="E146" s="41"/>
      <c r="F146" s="54"/>
      <c r="G146" s="45"/>
      <c r="H146" s="42"/>
      <c r="I146" s="42"/>
      <c r="J146" s="43">
        <f t="shared" si="4"/>
        <v>0</v>
      </c>
      <c r="K146" s="43">
        <f t="shared" si="5"/>
        <v>0</v>
      </c>
    </row>
    <row r="147" spans="2:11" x14ac:dyDescent="0.2">
      <c r="B147" s="40"/>
      <c r="C147" s="40"/>
      <c r="D147" s="41"/>
      <c r="E147" s="41"/>
      <c r="F147" s="54"/>
      <c r="G147" s="45"/>
      <c r="H147" s="42"/>
      <c r="I147" s="42"/>
      <c r="J147" s="43">
        <f t="shared" si="4"/>
        <v>0</v>
      </c>
      <c r="K147" s="43">
        <f t="shared" si="5"/>
        <v>0</v>
      </c>
    </row>
    <row r="148" spans="2:11" x14ac:dyDescent="0.2">
      <c r="B148" s="40"/>
      <c r="C148" s="40"/>
      <c r="D148" s="41"/>
      <c r="E148" s="41"/>
      <c r="F148" s="54"/>
      <c r="G148" s="45"/>
      <c r="H148" s="42"/>
      <c r="I148" s="42"/>
      <c r="J148" s="43">
        <f t="shared" si="4"/>
        <v>0</v>
      </c>
      <c r="K148" s="43">
        <f t="shared" si="5"/>
        <v>0</v>
      </c>
    </row>
    <row r="149" spans="2:11" x14ac:dyDescent="0.2">
      <c r="B149" s="40"/>
      <c r="C149" s="40"/>
      <c r="D149" s="41"/>
      <c r="E149" s="41"/>
      <c r="F149" s="54"/>
      <c r="G149" s="45"/>
      <c r="H149" s="42"/>
      <c r="I149" s="42"/>
      <c r="J149" s="43">
        <f t="shared" si="4"/>
        <v>0</v>
      </c>
      <c r="K149" s="43">
        <f t="shared" si="5"/>
        <v>0</v>
      </c>
    </row>
    <row r="150" spans="2:11" x14ac:dyDescent="0.2">
      <c r="B150" s="40"/>
      <c r="C150" s="40"/>
      <c r="D150" s="41"/>
      <c r="E150" s="41"/>
      <c r="F150" s="54"/>
      <c r="G150" s="45"/>
      <c r="H150" s="42"/>
      <c r="I150" s="42"/>
      <c r="J150" s="43">
        <f t="shared" si="4"/>
        <v>0</v>
      </c>
      <c r="K150" s="43">
        <f t="shared" si="5"/>
        <v>0</v>
      </c>
    </row>
    <row r="151" spans="2:11" x14ac:dyDescent="0.2">
      <c r="B151" s="40"/>
      <c r="C151" s="40"/>
      <c r="D151" s="41"/>
      <c r="E151" s="41"/>
      <c r="F151" s="54"/>
      <c r="G151" s="45"/>
      <c r="H151" s="42"/>
      <c r="I151" s="42"/>
      <c r="J151" s="43">
        <f t="shared" si="4"/>
        <v>0</v>
      </c>
      <c r="K151" s="43">
        <f t="shared" si="5"/>
        <v>0</v>
      </c>
    </row>
    <row r="152" spans="2:11" x14ac:dyDescent="0.2">
      <c r="B152" s="40"/>
      <c r="C152" s="40"/>
      <c r="D152" s="41"/>
      <c r="E152" s="41"/>
      <c r="F152" s="54"/>
      <c r="G152" s="45"/>
      <c r="H152" s="42"/>
      <c r="I152" s="42"/>
      <c r="J152" s="43">
        <f t="shared" si="4"/>
        <v>0</v>
      </c>
      <c r="K152" s="43">
        <f t="shared" si="5"/>
        <v>0</v>
      </c>
    </row>
    <row r="153" spans="2:11" x14ac:dyDescent="0.2">
      <c r="B153" s="40"/>
      <c r="C153" s="40"/>
      <c r="D153" s="41"/>
      <c r="E153" s="41"/>
      <c r="F153" s="54"/>
      <c r="G153" s="45"/>
      <c r="H153" s="42"/>
      <c r="I153" s="42"/>
      <c r="J153" s="43">
        <f t="shared" si="4"/>
        <v>0</v>
      </c>
      <c r="K153" s="43">
        <f t="shared" si="5"/>
        <v>0</v>
      </c>
    </row>
    <row r="154" spans="2:11" x14ac:dyDescent="0.2">
      <c r="B154" s="40"/>
      <c r="C154" s="40"/>
      <c r="D154" s="41"/>
      <c r="E154" s="41"/>
      <c r="F154" s="54"/>
      <c r="G154" s="45"/>
      <c r="H154" s="42"/>
      <c r="I154" s="42"/>
      <c r="J154" s="43">
        <f t="shared" si="4"/>
        <v>0</v>
      </c>
      <c r="K154" s="43">
        <f t="shared" si="5"/>
        <v>0</v>
      </c>
    </row>
    <row r="155" spans="2:11" x14ac:dyDescent="0.2">
      <c r="B155" s="40"/>
      <c r="C155" s="40"/>
      <c r="D155" s="41"/>
      <c r="E155" s="41"/>
      <c r="F155" s="54"/>
      <c r="G155" s="45"/>
      <c r="H155" s="42"/>
      <c r="I155" s="42"/>
      <c r="J155" s="43">
        <f t="shared" si="4"/>
        <v>0</v>
      </c>
      <c r="K155" s="43">
        <f t="shared" si="5"/>
        <v>0</v>
      </c>
    </row>
    <row r="156" spans="2:11" x14ac:dyDescent="0.2">
      <c r="B156" s="40"/>
      <c r="C156" s="40"/>
      <c r="D156" s="41"/>
      <c r="E156" s="41"/>
      <c r="F156" s="54"/>
      <c r="G156" s="45"/>
      <c r="H156" s="42"/>
      <c r="I156" s="42"/>
      <c r="J156" s="43">
        <f t="shared" si="4"/>
        <v>0</v>
      </c>
      <c r="K156" s="43">
        <f t="shared" si="5"/>
        <v>0</v>
      </c>
    </row>
    <row r="157" spans="2:11" x14ac:dyDescent="0.2">
      <c r="B157" s="40"/>
      <c r="C157" s="40"/>
      <c r="D157" s="41"/>
      <c r="E157" s="41"/>
      <c r="F157" s="54"/>
      <c r="G157" s="45"/>
      <c r="H157" s="42"/>
      <c r="I157" s="42"/>
      <c r="J157" s="43">
        <f t="shared" si="4"/>
        <v>0</v>
      </c>
      <c r="K157" s="43">
        <f t="shared" si="5"/>
        <v>0</v>
      </c>
    </row>
    <row r="158" spans="2:11" x14ac:dyDescent="0.2">
      <c r="B158" s="40"/>
      <c r="C158" s="40"/>
      <c r="D158" s="41"/>
      <c r="E158" s="41"/>
      <c r="F158" s="54"/>
      <c r="G158" s="45"/>
      <c r="H158" s="42"/>
      <c r="I158" s="42"/>
      <c r="J158" s="43">
        <f t="shared" si="4"/>
        <v>0</v>
      </c>
      <c r="K158" s="43">
        <f t="shared" si="5"/>
        <v>0</v>
      </c>
    </row>
    <row r="159" spans="2:11" x14ac:dyDescent="0.2">
      <c r="B159" s="40"/>
      <c r="C159" s="40"/>
      <c r="D159" s="41"/>
      <c r="E159" s="41"/>
      <c r="F159" s="54"/>
      <c r="G159" s="45"/>
      <c r="H159" s="42"/>
      <c r="I159" s="42"/>
      <c r="J159" s="43">
        <f t="shared" si="4"/>
        <v>0</v>
      </c>
      <c r="K159" s="43">
        <f t="shared" si="5"/>
        <v>0</v>
      </c>
    </row>
    <row r="160" spans="2:11" x14ac:dyDescent="0.2">
      <c r="B160" s="40"/>
      <c r="C160" s="40"/>
      <c r="D160" s="41"/>
      <c r="E160" s="41"/>
      <c r="F160" s="54"/>
      <c r="G160" s="45"/>
      <c r="H160" s="42"/>
      <c r="I160" s="42"/>
      <c r="J160" s="43">
        <f t="shared" si="4"/>
        <v>0</v>
      </c>
      <c r="K160" s="43">
        <f t="shared" si="5"/>
        <v>0</v>
      </c>
    </row>
    <row r="161" spans="2:11" x14ac:dyDescent="0.2">
      <c r="B161" s="40"/>
      <c r="C161" s="40"/>
      <c r="D161" s="41"/>
      <c r="E161" s="41"/>
      <c r="F161" s="54"/>
      <c r="G161" s="45"/>
      <c r="H161" s="42"/>
      <c r="I161" s="42"/>
      <c r="J161" s="43">
        <f t="shared" si="4"/>
        <v>0</v>
      </c>
      <c r="K161" s="43">
        <f t="shared" si="5"/>
        <v>0</v>
      </c>
    </row>
    <row r="162" spans="2:11" x14ac:dyDescent="0.2">
      <c r="B162" s="40"/>
      <c r="C162" s="40"/>
      <c r="D162" s="41"/>
      <c r="E162" s="41"/>
      <c r="F162" s="54"/>
      <c r="G162" s="45"/>
      <c r="H162" s="42"/>
      <c r="I162" s="42"/>
      <c r="J162" s="43">
        <f t="shared" si="4"/>
        <v>0</v>
      </c>
      <c r="K162" s="43">
        <f t="shared" si="5"/>
        <v>0</v>
      </c>
    </row>
    <row r="163" spans="2:11" x14ac:dyDescent="0.2">
      <c r="B163" s="40"/>
      <c r="C163" s="40"/>
      <c r="D163" s="41"/>
      <c r="E163" s="41"/>
      <c r="F163" s="54"/>
      <c r="G163" s="45"/>
      <c r="H163" s="42"/>
      <c r="I163" s="42"/>
      <c r="J163" s="43">
        <f t="shared" si="4"/>
        <v>0</v>
      </c>
      <c r="K163" s="43">
        <f t="shared" si="5"/>
        <v>0</v>
      </c>
    </row>
    <row r="164" spans="2:11" x14ac:dyDescent="0.2">
      <c r="B164" s="40"/>
      <c r="C164" s="40"/>
      <c r="D164" s="41"/>
      <c r="E164" s="41"/>
      <c r="F164" s="54"/>
      <c r="G164" s="45"/>
      <c r="H164" s="42"/>
      <c r="I164" s="42"/>
      <c r="J164" s="43">
        <f t="shared" si="4"/>
        <v>0</v>
      </c>
      <c r="K164" s="43">
        <f t="shared" si="5"/>
        <v>0</v>
      </c>
    </row>
    <row r="165" spans="2:11" x14ac:dyDescent="0.2">
      <c r="B165" s="40"/>
      <c r="C165" s="40"/>
      <c r="D165" s="41"/>
      <c r="E165" s="41"/>
      <c r="F165" s="54"/>
      <c r="G165" s="45"/>
      <c r="H165" s="42"/>
      <c r="I165" s="42"/>
      <c r="J165" s="43">
        <f t="shared" si="4"/>
        <v>0</v>
      </c>
      <c r="K165" s="43">
        <f t="shared" si="5"/>
        <v>0</v>
      </c>
    </row>
    <row r="166" spans="2:11" x14ac:dyDescent="0.2">
      <c r="B166" s="40"/>
      <c r="C166" s="40"/>
      <c r="D166" s="41"/>
      <c r="E166" s="41"/>
      <c r="F166" s="54"/>
      <c r="G166" s="45"/>
      <c r="H166" s="42"/>
      <c r="I166" s="42"/>
      <c r="J166" s="43">
        <f t="shared" si="4"/>
        <v>0</v>
      </c>
      <c r="K166" s="43">
        <f t="shared" si="5"/>
        <v>0</v>
      </c>
    </row>
    <row r="167" spans="2:11" x14ac:dyDescent="0.2">
      <c r="B167" s="40"/>
      <c r="C167" s="40"/>
      <c r="D167" s="41"/>
      <c r="E167" s="41"/>
      <c r="F167" s="54"/>
      <c r="G167" s="45"/>
      <c r="H167" s="42"/>
      <c r="I167" s="42"/>
      <c r="J167" s="43">
        <f t="shared" si="4"/>
        <v>0</v>
      </c>
      <c r="K167" s="43">
        <f t="shared" si="5"/>
        <v>0</v>
      </c>
    </row>
    <row r="168" spans="2:11" x14ac:dyDescent="0.2">
      <c r="B168" s="40"/>
      <c r="C168" s="40"/>
      <c r="D168" s="41"/>
      <c r="E168" s="41"/>
      <c r="F168" s="54"/>
      <c r="G168" s="45"/>
      <c r="H168" s="42"/>
      <c r="I168" s="42"/>
      <c r="J168" s="43">
        <f t="shared" si="4"/>
        <v>0</v>
      </c>
      <c r="K168" s="43">
        <f t="shared" si="5"/>
        <v>0</v>
      </c>
    </row>
    <row r="169" spans="2:11" x14ac:dyDescent="0.2">
      <c r="B169" s="40"/>
      <c r="C169" s="40"/>
      <c r="D169" s="41"/>
      <c r="E169" s="41"/>
      <c r="F169" s="54"/>
      <c r="G169" s="45"/>
      <c r="H169" s="42"/>
      <c r="I169" s="42"/>
      <c r="J169" s="43">
        <f t="shared" si="4"/>
        <v>0</v>
      </c>
      <c r="K169" s="43">
        <f t="shared" si="5"/>
        <v>0</v>
      </c>
    </row>
    <row r="170" spans="2:11" x14ac:dyDescent="0.2">
      <c r="B170" s="40"/>
      <c r="C170" s="40"/>
      <c r="D170" s="41"/>
      <c r="E170" s="41"/>
      <c r="F170" s="54"/>
      <c r="G170" s="45"/>
      <c r="H170" s="42"/>
      <c r="I170" s="42"/>
      <c r="J170" s="43">
        <f t="shared" si="4"/>
        <v>0</v>
      </c>
      <c r="K170" s="43">
        <f t="shared" si="5"/>
        <v>0</v>
      </c>
    </row>
    <row r="171" spans="2:11" x14ac:dyDescent="0.2">
      <c r="B171" s="40"/>
      <c r="C171" s="40"/>
      <c r="D171" s="41"/>
      <c r="E171" s="41"/>
      <c r="F171" s="54"/>
      <c r="G171" s="45"/>
      <c r="H171" s="42"/>
      <c r="I171" s="42"/>
      <c r="J171" s="43">
        <f t="shared" si="4"/>
        <v>0</v>
      </c>
      <c r="K171" s="43">
        <f t="shared" si="5"/>
        <v>0</v>
      </c>
    </row>
    <row r="172" spans="2:11" x14ac:dyDescent="0.2">
      <c r="B172" s="40"/>
      <c r="C172" s="40"/>
      <c r="D172" s="41"/>
      <c r="E172" s="41"/>
      <c r="F172" s="54"/>
      <c r="G172" s="45"/>
      <c r="H172" s="42"/>
      <c r="I172" s="42"/>
      <c r="J172" s="43">
        <f t="shared" si="4"/>
        <v>0</v>
      </c>
      <c r="K172" s="43">
        <f t="shared" si="5"/>
        <v>0</v>
      </c>
    </row>
    <row r="173" spans="2:11" x14ac:dyDescent="0.2">
      <c r="B173" s="40"/>
      <c r="C173" s="40"/>
      <c r="D173" s="41"/>
      <c r="E173" s="41"/>
      <c r="F173" s="54"/>
      <c r="G173" s="45"/>
      <c r="H173" s="42"/>
      <c r="I173" s="42"/>
      <c r="J173" s="43">
        <f t="shared" si="4"/>
        <v>0</v>
      </c>
      <c r="K173" s="43">
        <f t="shared" si="5"/>
        <v>0</v>
      </c>
    </row>
    <row r="174" spans="2:11" x14ac:dyDescent="0.2">
      <c r="B174" s="40"/>
      <c r="C174" s="40"/>
      <c r="D174" s="41"/>
      <c r="E174" s="41"/>
      <c r="F174" s="54"/>
      <c r="G174" s="45"/>
      <c r="H174" s="42"/>
      <c r="I174" s="42"/>
      <c r="J174" s="43">
        <f t="shared" si="4"/>
        <v>0</v>
      </c>
      <c r="K174" s="43">
        <f t="shared" si="5"/>
        <v>0</v>
      </c>
    </row>
    <row r="175" spans="2:11" x14ac:dyDescent="0.2">
      <c r="B175" s="40"/>
      <c r="C175" s="40"/>
      <c r="D175" s="41"/>
      <c r="E175" s="41"/>
      <c r="F175" s="54"/>
      <c r="G175" s="45"/>
      <c r="H175" s="42"/>
      <c r="I175" s="42"/>
      <c r="J175" s="43">
        <f t="shared" si="4"/>
        <v>0</v>
      </c>
      <c r="K175" s="43">
        <f t="shared" si="5"/>
        <v>0</v>
      </c>
    </row>
    <row r="176" spans="2:11" x14ac:dyDescent="0.2">
      <c r="B176" s="40"/>
      <c r="C176" s="40"/>
      <c r="D176" s="41"/>
      <c r="E176" s="41"/>
      <c r="F176" s="54"/>
      <c r="G176" s="45"/>
      <c r="H176" s="42"/>
      <c r="I176" s="42"/>
      <c r="J176" s="43">
        <f t="shared" si="4"/>
        <v>0</v>
      </c>
      <c r="K176" s="43">
        <f t="shared" si="5"/>
        <v>0</v>
      </c>
    </row>
    <row r="177" spans="2:11" x14ac:dyDescent="0.2">
      <c r="B177" s="40"/>
      <c r="C177" s="40"/>
      <c r="D177" s="41"/>
      <c r="E177" s="41"/>
      <c r="F177" s="54"/>
      <c r="G177" s="45"/>
      <c r="H177" s="42"/>
      <c r="I177" s="42"/>
      <c r="J177" s="43">
        <f t="shared" si="4"/>
        <v>0</v>
      </c>
      <c r="K177" s="43">
        <f t="shared" si="5"/>
        <v>0</v>
      </c>
    </row>
    <row r="178" spans="2:11" x14ac:dyDescent="0.2">
      <c r="B178" s="40"/>
      <c r="C178" s="40"/>
      <c r="D178" s="41"/>
      <c r="E178" s="41"/>
      <c r="F178" s="54"/>
      <c r="G178" s="45"/>
      <c r="H178" s="42"/>
      <c r="I178" s="42"/>
      <c r="J178" s="43">
        <f t="shared" si="4"/>
        <v>0</v>
      </c>
      <c r="K178" s="43">
        <f t="shared" si="5"/>
        <v>0</v>
      </c>
    </row>
    <row r="179" spans="2:11" x14ac:dyDescent="0.2">
      <c r="B179" s="40"/>
      <c r="C179" s="40"/>
      <c r="D179" s="41"/>
      <c r="E179" s="41"/>
      <c r="F179" s="54"/>
      <c r="G179" s="45"/>
      <c r="H179" s="42"/>
      <c r="I179" s="42"/>
      <c r="J179" s="43">
        <f t="shared" si="4"/>
        <v>0</v>
      </c>
      <c r="K179" s="43">
        <f t="shared" si="5"/>
        <v>0</v>
      </c>
    </row>
    <row r="180" spans="2:11" x14ac:dyDescent="0.2">
      <c r="B180" s="40"/>
      <c r="C180" s="40"/>
      <c r="D180" s="41"/>
      <c r="E180" s="41"/>
      <c r="F180" s="54"/>
      <c r="G180" s="45"/>
      <c r="H180" s="42"/>
      <c r="I180" s="42"/>
      <c r="J180" s="43">
        <f t="shared" si="4"/>
        <v>0</v>
      </c>
      <c r="K180" s="43">
        <f t="shared" si="5"/>
        <v>0</v>
      </c>
    </row>
    <row r="181" spans="2:11" x14ac:dyDescent="0.2">
      <c r="B181" s="40"/>
      <c r="C181" s="40"/>
      <c r="D181" s="41"/>
      <c r="E181" s="41"/>
      <c r="F181" s="54"/>
      <c r="G181" s="45"/>
      <c r="H181" s="42"/>
      <c r="I181" s="42"/>
      <c r="J181" s="43">
        <f t="shared" si="4"/>
        <v>0</v>
      </c>
      <c r="K181" s="43">
        <f t="shared" si="5"/>
        <v>0</v>
      </c>
    </row>
    <row r="182" spans="2:11" x14ac:dyDescent="0.2">
      <c r="B182" s="40"/>
      <c r="C182" s="40"/>
      <c r="D182" s="41"/>
      <c r="E182" s="41"/>
      <c r="F182" s="54"/>
      <c r="G182" s="45"/>
      <c r="H182" s="42"/>
      <c r="I182" s="42"/>
      <c r="J182" s="43">
        <f t="shared" si="4"/>
        <v>0</v>
      </c>
      <c r="K182" s="43">
        <f t="shared" si="5"/>
        <v>0</v>
      </c>
    </row>
    <row r="183" spans="2:11" x14ac:dyDescent="0.2">
      <c r="B183" s="40"/>
      <c r="C183" s="40"/>
      <c r="D183" s="41"/>
      <c r="E183" s="41"/>
      <c r="F183" s="54"/>
      <c r="G183" s="45"/>
      <c r="H183" s="42"/>
      <c r="I183" s="42"/>
      <c r="J183" s="43">
        <f t="shared" si="4"/>
        <v>0</v>
      </c>
      <c r="K183" s="43">
        <f t="shared" si="5"/>
        <v>0</v>
      </c>
    </row>
    <row r="184" spans="2:11" x14ac:dyDescent="0.2">
      <c r="B184" s="40"/>
      <c r="C184" s="40"/>
      <c r="D184" s="41"/>
      <c r="E184" s="41"/>
      <c r="F184" s="54"/>
      <c r="G184" s="45"/>
      <c r="H184" s="42"/>
      <c r="I184" s="42"/>
      <c r="J184" s="43">
        <f t="shared" si="4"/>
        <v>0</v>
      </c>
      <c r="K184" s="43">
        <f t="shared" si="5"/>
        <v>0</v>
      </c>
    </row>
    <row r="185" spans="2:11" x14ac:dyDescent="0.2">
      <c r="B185" s="40"/>
      <c r="C185" s="40"/>
      <c r="D185" s="41"/>
      <c r="E185" s="41"/>
      <c r="F185" s="54"/>
      <c r="G185" s="45"/>
      <c r="H185" s="42"/>
      <c r="I185" s="42"/>
      <c r="J185" s="43">
        <f t="shared" si="4"/>
        <v>0</v>
      </c>
      <c r="K185" s="43">
        <f t="shared" si="5"/>
        <v>0</v>
      </c>
    </row>
    <row r="186" spans="2:11" x14ac:dyDescent="0.2">
      <c r="B186" s="40"/>
      <c r="C186" s="40"/>
      <c r="D186" s="41"/>
      <c r="E186" s="41"/>
      <c r="F186" s="54"/>
      <c r="G186" s="45"/>
      <c r="H186" s="42"/>
      <c r="I186" s="42"/>
      <c r="J186" s="43">
        <f t="shared" si="4"/>
        <v>0</v>
      </c>
      <c r="K186" s="43">
        <f t="shared" si="5"/>
        <v>0</v>
      </c>
    </row>
    <row r="187" spans="2:11" x14ac:dyDescent="0.2">
      <c r="B187" s="40"/>
      <c r="C187" s="40"/>
      <c r="D187" s="41"/>
      <c r="E187" s="41"/>
      <c r="F187" s="54"/>
      <c r="G187" s="45"/>
      <c r="H187" s="42"/>
      <c r="I187" s="42"/>
      <c r="J187" s="43">
        <f t="shared" si="4"/>
        <v>0</v>
      </c>
      <c r="K187" s="43">
        <f t="shared" si="5"/>
        <v>0</v>
      </c>
    </row>
    <row r="188" spans="2:11" x14ac:dyDescent="0.2">
      <c r="B188" s="40"/>
      <c r="C188" s="40"/>
      <c r="D188" s="41"/>
      <c r="E188" s="41"/>
      <c r="F188" s="54"/>
      <c r="G188" s="45"/>
      <c r="H188" s="42"/>
      <c r="I188" s="42"/>
      <c r="J188" s="43">
        <f t="shared" si="4"/>
        <v>0</v>
      </c>
      <c r="K188" s="43">
        <f t="shared" si="5"/>
        <v>0</v>
      </c>
    </row>
    <row r="189" spans="2:11" x14ac:dyDescent="0.2">
      <c r="B189" s="40"/>
      <c r="C189" s="40"/>
      <c r="D189" s="41"/>
      <c r="E189" s="41"/>
      <c r="F189" s="54"/>
      <c r="G189" s="45"/>
      <c r="H189" s="42"/>
      <c r="I189" s="42"/>
      <c r="J189" s="43">
        <f t="shared" si="4"/>
        <v>0</v>
      </c>
      <c r="K189" s="43">
        <f t="shared" si="5"/>
        <v>0</v>
      </c>
    </row>
    <row r="190" spans="2:11" x14ac:dyDescent="0.2">
      <c r="B190" s="40"/>
      <c r="C190" s="40"/>
      <c r="D190" s="41"/>
      <c r="E190" s="41"/>
      <c r="F190" s="54"/>
      <c r="G190" s="45"/>
      <c r="H190" s="42"/>
      <c r="I190" s="42"/>
      <c r="J190" s="43">
        <f t="shared" si="4"/>
        <v>0</v>
      </c>
      <c r="K190" s="43">
        <f t="shared" si="5"/>
        <v>0</v>
      </c>
    </row>
    <row r="191" spans="2:11" x14ac:dyDescent="0.2">
      <c r="B191" s="40"/>
      <c r="C191" s="40"/>
      <c r="D191" s="41"/>
      <c r="E191" s="41"/>
      <c r="F191" s="54"/>
      <c r="G191" s="45"/>
      <c r="H191" s="42"/>
      <c r="I191" s="42"/>
      <c r="J191" s="43">
        <f t="shared" si="4"/>
        <v>0</v>
      </c>
      <c r="K191" s="43">
        <f t="shared" si="5"/>
        <v>0</v>
      </c>
    </row>
    <row r="192" spans="2:11" x14ac:dyDescent="0.2">
      <c r="B192" s="40"/>
      <c r="C192" s="40"/>
      <c r="D192" s="41"/>
      <c r="E192" s="41"/>
      <c r="F192" s="54"/>
      <c r="G192" s="45"/>
      <c r="H192" s="42"/>
      <c r="I192" s="42"/>
      <c r="J192" s="43">
        <f t="shared" si="4"/>
        <v>0</v>
      </c>
      <c r="K192" s="43">
        <f t="shared" si="5"/>
        <v>0</v>
      </c>
    </row>
    <row r="193" spans="2:11" x14ac:dyDescent="0.2">
      <c r="B193" s="40"/>
      <c r="C193" s="40"/>
      <c r="D193" s="41"/>
      <c r="E193" s="41"/>
      <c r="F193" s="54"/>
      <c r="G193" s="45"/>
      <c r="H193" s="42"/>
      <c r="I193" s="42"/>
      <c r="J193" s="43">
        <f t="shared" si="4"/>
        <v>0</v>
      </c>
      <c r="K193" s="43">
        <f t="shared" si="5"/>
        <v>0</v>
      </c>
    </row>
    <row r="194" spans="2:11" x14ac:dyDescent="0.2">
      <c r="B194" s="40"/>
      <c r="C194" s="40"/>
      <c r="D194" s="41"/>
      <c r="E194" s="41"/>
      <c r="F194" s="54"/>
      <c r="G194" s="45"/>
      <c r="H194" s="42"/>
      <c r="I194" s="42"/>
      <c r="J194" s="43">
        <f t="shared" si="4"/>
        <v>0</v>
      </c>
      <c r="K194" s="43">
        <f t="shared" si="5"/>
        <v>0</v>
      </c>
    </row>
    <row r="195" spans="2:11" x14ac:dyDescent="0.2">
      <c r="B195" s="40"/>
      <c r="C195" s="40"/>
      <c r="D195" s="41"/>
      <c r="E195" s="41"/>
      <c r="F195" s="54"/>
      <c r="G195" s="45"/>
      <c r="H195" s="42"/>
      <c r="I195" s="42"/>
      <c r="J195" s="43">
        <f t="shared" si="4"/>
        <v>0</v>
      </c>
      <c r="K195" s="43">
        <f t="shared" si="5"/>
        <v>0</v>
      </c>
    </row>
    <row r="196" spans="2:11" x14ac:dyDescent="0.2">
      <c r="B196" s="40"/>
      <c r="C196" s="40"/>
      <c r="D196" s="41"/>
      <c r="E196" s="41"/>
      <c r="F196" s="54"/>
      <c r="G196" s="45"/>
      <c r="H196" s="42"/>
      <c r="I196" s="42"/>
      <c r="J196" s="43">
        <f t="shared" si="4"/>
        <v>0</v>
      </c>
      <c r="K196" s="43">
        <f t="shared" si="5"/>
        <v>0</v>
      </c>
    </row>
    <row r="197" spans="2:11" x14ac:dyDescent="0.2">
      <c r="B197" s="40"/>
      <c r="C197" s="40"/>
      <c r="D197" s="41"/>
      <c r="E197" s="41"/>
      <c r="F197" s="54"/>
      <c r="G197" s="45"/>
      <c r="H197" s="42"/>
      <c r="I197" s="42"/>
      <c r="J197" s="43">
        <f t="shared" si="4"/>
        <v>0</v>
      </c>
      <c r="K197" s="43">
        <f t="shared" si="5"/>
        <v>0</v>
      </c>
    </row>
    <row r="198" spans="2:11" x14ac:dyDescent="0.2">
      <c r="B198" s="40"/>
      <c r="C198" s="40"/>
      <c r="D198" s="41"/>
      <c r="E198" s="41"/>
      <c r="F198" s="54"/>
      <c r="G198" s="45"/>
      <c r="H198" s="42"/>
      <c r="I198" s="42"/>
      <c r="J198" s="43">
        <f t="shared" si="4"/>
        <v>0</v>
      </c>
      <c r="K198" s="43">
        <f t="shared" si="5"/>
        <v>0</v>
      </c>
    </row>
    <row r="199" spans="2:11" x14ac:dyDescent="0.2">
      <c r="B199" s="40"/>
      <c r="C199" s="40"/>
      <c r="D199" s="41"/>
      <c r="E199" s="41"/>
      <c r="F199" s="54"/>
      <c r="G199" s="45"/>
      <c r="H199" s="42"/>
      <c r="I199" s="42"/>
      <c r="J199" s="43">
        <f t="shared" si="4"/>
        <v>0</v>
      </c>
      <c r="K199" s="43">
        <f t="shared" si="5"/>
        <v>0</v>
      </c>
    </row>
    <row r="200" spans="2:11" x14ac:dyDescent="0.2">
      <c r="B200" s="40"/>
      <c r="C200" s="40"/>
      <c r="D200" s="41"/>
      <c r="E200" s="41"/>
      <c r="F200" s="54"/>
      <c r="G200" s="45"/>
      <c r="H200" s="42"/>
      <c r="I200" s="42"/>
      <c r="J200" s="43">
        <f t="shared" si="4"/>
        <v>0</v>
      </c>
      <c r="K200" s="43">
        <f t="shared" si="5"/>
        <v>0</v>
      </c>
    </row>
    <row r="201" spans="2:11" x14ac:dyDescent="0.2">
      <c r="B201" s="40"/>
      <c r="C201" s="40"/>
      <c r="D201" s="41"/>
      <c r="E201" s="41"/>
      <c r="F201" s="54"/>
      <c r="G201" s="45"/>
      <c r="H201" s="42"/>
      <c r="I201" s="42"/>
      <c r="J201" s="43">
        <f t="shared" si="4"/>
        <v>0</v>
      </c>
      <c r="K201" s="43">
        <f t="shared" si="5"/>
        <v>0</v>
      </c>
    </row>
    <row r="202" spans="2:11" x14ac:dyDescent="0.2">
      <c r="B202" s="40"/>
      <c r="C202" s="40"/>
      <c r="D202" s="41"/>
      <c r="E202" s="41"/>
      <c r="F202" s="54"/>
      <c r="G202" s="45"/>
      <c r="H202" s="42"/>
      <c r="I202" s="42"/>
      <c r="J202" s="43">
        <f t="shared" ref="J202:J236" si="6">$G$10*H202</f>
        <v>0</v>
      </c>
      <c r="K202" s="43">
        <f t="shared" ref="K202:K236" si="7">$G$10*I202</f>
        <v>0</v>
      </c>
    </row>
    <row r="203" spans="2:11" x14ac:dyDescent="0.2">
      <c r="B203" s="40"/>
      <c r="C203" s="40"/>
      <c r="D203" s="41"/>
      <c r="E203" s="41"/>
      <c r="F203" s="54"/>
      <c r="G203" s="45"/>
      <c r="H203" s="42"/>
      <c r="I203" s="42"/>
      <c r="J203" s="43">
        <f t="shared" si="6"/>
        <v>0</v>
      </c>
      <c r="K203" s="43">
        <f t="shared" si="7"/>
        <v>0</v>
      </c>
    </row>
    <row r="204" spans="2:11" x14ac:dyDescent="0.2">
      <c r="B204" s="40"/>
      <c r="C204" s="40"/>
      <c r="D204" s="41"/>
      <c r="E204" s="41"/>
      <c r="F204" s="54"/>
      <c r="G204" s="45"/>
      <c r="H204" s="42"/>
      <c r="I204" s="42"/>
      <c r="J204" s="43">
        <f t="shared" si="6"/>
        <v>0</v>
      </c>
      <c r="K204" s="43">
        <f t="shared" si="7"/>
        <v>0</v>
      </c>
    </row>
    <row r="205" spans="2:11" x14ac:dyDescent="0.2">
      <c r="B205" s="40"/>
      <c r="C205" s="40"/>
      <c r="D205" s="41"/>
      <c r="E205" s="41"/>
      <c r="F205" s="54"/>
      <c r="G205" s="45"/>
      <c r="H205" s="42"/>
      <c r="I205" s="42"/>
      <c r="J205" s="43">
        <f t="shared" si="6"/>
        <v>0</v>
      </c>
      <c r="K205" s="43">
        <f t="shared" si="7"/>
        <v>0</v>
      </c>
    </row>
    <row r="206" spans="2:11" x14ac:dyDescent="0.2">
      <c r="B206" s="40"/>
      <c r="C206" s="40"/>
      <c r="D206" s="41"/>
      <c r="E206" s="41"/>
      <c r="F206" s="54"/>
      <c r="G206" s="45"/>
      <c r="H206" s="42"/>
      <c r="I206" s="42"/>
      <c r="J206" s="43">
        <f t="shared" si="6"/>
        <v>0</v>
      </c>
      <c r="K206" s="43">
        <f t="shared" si="7"/>
        <v>0</v>
      </c>
    </row>
    <row r="207" spans="2:11" x14ac:dyDescent="0.2">
      <c r="B207" s="40"/>
      <c r="C207" s="40"/>
      <c r="D207" s="41"/>
      <c r="E207" s="41"/>
      <c r="F207" s="54"/>
      <c r="G207" s="45"/>
      <c r="H207" s="42"/>
      <c r="I207" s="42"/>
      <c r="J207" s="43">
        <f t="shared" si="6"/>
        <v>0</v>
      </c>
      <c r="K207" s="43">
        <f t="shared" si="7"/>
        <v>0</v>
      </c>
    </row>
    <row r="208" spans="2:11" x14ac:dyDescent="0.2">
      <c r="B208" s="40"/>
      <c r="C208" s="40"/>
      <c r="D208" s="41"/>
      <c r="E208" s="41"/>
      <c r="F208" s="54"/>
      <c r="G208" s="45"/>
      <c r="H208" s="42"/>
      <c r="I208" s="42"/>
      <c r="J208" s="43">
        <f t="shared" si="6"/>
        <v>0</v>
      </c>
      <c r="K208" s="43">
        <f t="shared" si="7"/>
        <v>0</v>
      </c>
    </row>
    <row r="209" spans="2:11" x14ac:dyDescent="0.2">
      <c r="B209" s="40"/>
      <c r="C209" s="40"/>
      <c r="D209" s="41"/>
      <c r="E209" s="41"/>
      <c r="F209" s="54"/>
      <c r="G209" s="45"/>
      <c r="H209" s="42"/>
      <c r="I209" s="42"/>
      <c r="J209" s="43">
        <f t="shared" si="6"/>
        <v>0</v>
      </c>
      <c r="K209" s="43">
        <f t="shared" si="7"/>
        <v>0</v>
      </c>
    </row>
    <row r="210" spans="2:11" x14ac:dyDescent="0.2">
      <c r="B210" s="40"/>
      <c r="C210" s="40"/>
      <c r="D210" s="41"/>
      <c r="E210" s="41"/>
      <c r="F210" s="54"/>
      <c r="G210" s="45"/>
      <c r="H210" s="42"/>
      <c r="I210" s="42"/>
      <c r="J210" s="43">
        <f t="shared" si="6"/>
        <v>0</v>
      </c>
      <c r="K210" s="43">
        <f t="shared" si="7"/>
        <v>0</v>
      </c>
    </row>
    <row r="211" spans="2:11" x14ac:dyDescent="0.2">
      <c r="B211" s="40"/>
      <c r="C211" s="40"/>
      <c r="D211" s="41"/>
      <c r="E211" s="41"/>
      <c r="F211" s="54"/>
      <c r="G211" s="45"/>
      <c r="H211" s="42"/>
      <c r="I211" s="42"/>
      <c r="J211" s="43">
        <f t="shared" si="6"/>
        <v>0</v>
      </c>
      <c r="K211" s="43">
        <f t="shared" si="7"/>
        <v>0</v>
      </c>
    </row>
    <row r="212" spans="2:11" x14ac:dyDescent="0.2">
      <c r="B212" s="40"/>
      <c r="C212" s="40"/>
      <c r="D212" s="41"/>
      <c r="E212" s="41"/>
      <c r="F212" s="54"/>
      <c r="G212" s="45"/>
      <c r="H212" s="42"/>
      <c r="I212" s="42"/>
      <c r="J212" s="43">
        <f t="shared" si="6"/>
        <v>0</v>
      </c>
      <c r="K212" s="43">
        <f t="shared" si="7"/>
        <v>0</v>
      </c>
    </row>
    <row r="213" spans="2:11" x14ac:dyDescent="0.2">
      <c r="B213" s="40"/>
      <c r="C213" s="40"/>
      <c r="D213" s="41"/>
      <c r="E213" s="41"/>
      <c r="F213" s="54"/>
      <c r="G213" s="45"/>
      <c r="H213" s="42"/>
      <c r="I213" s="42"/>
      <c r="J213" s="43">
        <f t="shared" si="6"/>
        <v>0</v>
      </c>
      <c r="K213" s="43">
        <f t="shared" si="7"/>
        <v>0</v>
      </c>
    </row>
    <row r="214" spans="2:11" x14ac:dyDescent="0.2">
      <c r="B214" s="40"/>
      <c r="C214" s="40"/>
      <c r="D214" s="41"/>
      <c r="E214" s="41"/>
      <c r="F214" s="54"/>
      <c r="G214" s="45"/>
      <c r="H214" s="42"/>
      <c r="I214" s="42"/>
      <c r="J214" s="43">
        <f t="shared" si="6"/>
        <v>0</v>
      </c>
      <c r="K214" s="43">
        <f t="shared" si="7"/>
        <v>0</v>
      </c>
    </row>
    <row r="215" spans="2:11" x14ac:dyDescent="0.2">
      <c r="B215" s="40"/>
      <c r="C215" s="40"/>
      <c r="D215" s="41"/>
      <c r="E215" s="41"/>
      <c r="F215" s="54"/>
      <c r="G215" s="45"/>
      <c r="H215" s="42"/>
      <c r="I215" s="42"/>
      <c r="J215" s="43">
        <f t="shared" si="6"/>
        <v>0</v>
      </c>
      <c r="K215" s="43">
        <f t="shared" si="7"/>
        <v>0</v>
      </c>
    </row>
    <row r="216" spans="2:11" x14ac:dyDescent="0.2">
      <c r="B216" s="40"/>
      <c r="C216" s="40"/>
      <c r="D216" s="41"/>
      <c r="E216" s="41"/>
      <c r="F216" s="54"/>
      <c r="G216" s="45"/>
      <c r="H216" s="42"/>
      <c r="I216" s="42"/>
      <c r="J216" s="43">
        <f t="shared" si="6"/>
        <v>0</v>
      </c>
      <c r="K216" s="43">
        <f t="shared" si="7"/>
        <v>0</v>
      </c>
    </row>
    <row r="217" spans="2:11" x14ac:dyDescent="0.2">
      <c r="B217" s="40"/>
      <c r="C217" s="40"/>
      <c r="D217" s="41"/>
      <c r="E217" s="41"/>
      <c r="F217" s="54"/>
      <c r="G217" s="45"/>
      <c r="H217" s="42"/>
      <c r="I217" s="42"/>
      <c r="J217" s="43">
        <f t="shared" si="6"/>
        <v>0</v>
      </c>
      <c r="K217" s="43">
        <f t="shared" si="7"/>
        <v>0</v>
      </c>
    </row>
    <row r="218" spans="2:11" x14ac:dyDescent="0.2">
      <c r="B218" s="40"/>
      <c r="C218" s="40"/>
      <c r="D218" s="41"/>
      <c r="E218" s="41"/>
      <c r="F218" s="54"/>
      <c r="G218" s="45"/>
      <c r="H218" s="42"/>
      <c r="I218" s="42"/>
      <c r="J218" s="43">
        <f t="shared" si="6"/>
        <v>0</v>
      </c>
      <c r="K218" s="43">
        <f t="shared" si="7"/>
        <v>0</v>
      </c>
    </row>
    <row r="219" spans="2:11" x14ac:dyDescent="0.2">
      <c r="B219" s="40"/>
      <c r="C219" s="40"/>
      <c r="D219" s="41"/>
      <c r="E219" s="41"/>
      <c r="F219" s="54"/>
      <c r="G219" s="45"/>
      <c r="H219" s="42"/>
      <c r="I219" s="42"/>
      <c r="J219" s="43">
        <f t="shared" si="6"/>
        <v>0</v>
      </c>
      <c r="K219" s="43">
        <f t="shared" si="7"/>
        <v>0</v>
      </c>
    </row>
    <row r="220" spans="2:11" x14ac:dyDescent="0.2">
      <c r="B220" s="40"/>
      <c r="C220" s="40"/>
      <c r="D220" s="41"/>
      <c r="E220" s="41"/>
      <c r="F220" s="54"/>
      <c r="G220" s="45"/>
      <c r="H220" s="42"/>
      <c r="I220" s="42"/>
      <c r="J220" s="43">
        <f t="shared" si="6"/>
        <v>0</v>
      </c>
      <c r="K220" s="43">
        <f t="shared" si="7"/>
        <v>0</v>
      </c>
    </row>
    <row r="221" spans="2:11" x14ac:dyDescent="0.2">
      <c r="B221" s="40"/>
      <c r="C221" s="40"/>
      <c r="D221" s="41"/>
      <c r="E221" s="41"/>
      <c r="F221" s="54"/>
      <c r="G221" s="45"/>
      <c r="H221" s="42"/>
      <c r="I221" s="42"/>
      <c r="J221" s="43">
        <f t="shared" si="6"/>
        <v>0</v>
      </c>
      <c r="K221" s="43">
        <f t="shared" si="7"/>
        <v>0</v>
      </c>
    </row>
    <row r="222" spans="2:11" x14ac:dyDescent="0.2">
      <c r="B222" s="40"/>
      <c r="C222" s="40"/>
      <c r="D222" s="41"/>
      <c r="E222" s="41"/>
      <c r="F222" s="54"/>
      <c r="G222" s="45"/>
      <c r="H222" s="42"/>
      <c r="I222" s="42"/>
      <c r="J222" s="43">
        <f t="shared" si="6"/>
        <v>0</v>
      </c>
      <c r="K222" s="43">
        <f t="shared" si="7"/>
        <v>0</v>
      </c>
    </row>
    <row r="223" spans="2:11" x14ac:dyDescent="0.2">
      <c r="B223" s="40"/>
      <c r="C223" s="40"/>
      <c r="D223" s="41"/>
      <c r="E223" s="41"/>
      <c r="F223" s="54"/>
      <c r="G223" s="45"/>
      <c r="H223" s="42"/>
      <c r="I223" s="42"/>
      <c r="J223" s="43">
        <f t="shared" si="6"/>
        <v>0</v>
      </c>
      <c r="K223" s="43">
        <f t="shared" si="7"/>
        <v>0</v>
      </c>
    </row>
    <row r="224" spans="2:11" x14ac:dyDescent="0.2">
      <c r="B224" s="40"/>
      <c r="C224" s="40"/>
      <c r="D224" s="41"/>
      <c r="E224" s="41"/>
      <c r="F224" s="54"/>
      <c r="G224" s="45"/>
      <c r="H224" s="42"/>
      <c r="I224" s="42"/>
      <c r="J224" s="43">
        <f t="shared" si="6"/>
        <v>0</v>
      </c>
      <c r="K224" s="43">
        <f t="shared" si="7"/>
        <v>0</v>
      </c>
    </row>
    <row r="225" spans="2:11" x14ac:dyDescent="0.2">
      <c r="B225" s="40"/>
      <c r="C225" s="40"/>
      <c r="D225" s="41"/>
      <c r="E225" s="41"/>
      <c r="F225" s="54"/>
      <c r="G225" s="45"/>
      <c r="H225" s="42"/>
      <c r="I225" s="42"/>
      <c r="J225" s="43">
        <f t="shared" si="6"/>
        <v>0</v>
      </c>
      <c r="K225" s="43">
        <f t="shared" si="7"/>
        <v>0</v>
      </c>
    </row>
    <row r="226" spans="2:11" x14ac:dyDescent="0.2">
      <c r="B226" s="40"/>
      <c r="C226" s="40"/>
      <c r="D226" s="41"/>
      <c r="E226" s="41"/>
      <c r="F226" s="54"/>
      <c r="G226" s="45"/>
      <c r="H226" s="42"/>
      <c r="I226" s="42"/>
      <c r="J226" s="43">
        <f t="shared" si="6"/>
        <v>0</v>
      </c>
      <c r="K226" s="43">
        <f t="shared" si="7"/>
        <v>0</v>
      </c>
    </row>
    <row r="227" spans="2:11" x14ac:dyDescent="0.2">
      <c r="B227" s="40"/>
      <c r="C227" s="40"/>
      <c r="D227" s="41"/>
      <c r="E227" s="41"/>
      <c r="F227" s="54"/>
      <c r="G227" s="45"/>
      <c r="H227" s="42"/>
      <c r="I227" s="42"/>
      <c r="J227" s="43">
        <f t="shared" si="6"/>
        <v>0</v>
      </c>
      <c r="K227" s="43">
        <f t="shared" si="7"/>
        <v>0</v>
      </c>
    </row>
    <row r="228" spans="2:11" x14ac:dyDescent="0.2">
      <c r="B228" s="40"/>
      <c r="C228" s="40"/>
      <c r="D228" s="41"/>
      <c r="E228" s="41"/>
      <c r="F228" s="54"/>
      <c r="G228" s="45"/>
      <c r="H228" s="42"/>
      <c r="I228" s="42"/>
      <c r="J228" s="43">
        <f t="shared" si="6"/>
        <v>0</v>
      </c>
      <c r="K228" s="43">
        <f t="shared" si="7"/>
        <v>0</v>
      </c>
    </row>
    <row r="229" spans="2:11" x14ac:dyDescent="0.2">
      <c r="B229" s="40"/>
      <c r="C229" s="40"/>
      <c r="D229" s="41"/>
      <c r="E229" s="41"/>
      <c r="F229" s="54"/>
      <c r="G229" s="45"/>
      <c r="H229" s="42"/>
      <c r="I229" s="42"/>
      <c r="J229" s="43">
        <f t="shared" si="6"/>
        <v>0</v>
      </c>
      <c r="K229" s="43">
        <f t="shared" si="7"/>
        <v>0</v>
      </c>
    </row>
    <row r="230" spans="2:11" x14ac:dyDescent="0.2">
      <c r="B230" s="40"/>
      <c r="C230" s="40"/>
      <c r="D230" s="41"/>
      <c r="E230" s="41"/>
      <c r="F230" s="54"/>
      <c r="G230" s="45"/>
      <c r="H230" s="42"/>
      <c r="I230" s="42"/>
      <c r="J230" s="43">
        <f t="shared" si="6"/>
        <v>0</v>
      </c>
      <c r="K230" s="43">
        <f t="shared" si="7"/>
        <v>0</v>
      </c>
    </row>
    <row r="231" spans="2:11" x14ac:dyDescent="0.2">
      <c r="B231" s="40"/>
      <c r="C231" s="40"/>
      <c r="D231" s="41"/>
      <c r="E231" s="41"/>
      <c r="F231" s="54"/>
      <c r="G231" s="45"/>
      <c r="H231" s="42"/>
      <c r="I231" s="42"/>
      <c r="J231" s="43">
        <f t="shared" si="6"/>
        <v>0</v>
      </c>
      <c r="K231" s="43">
        <f t="shared" si="7"/>
        <v>0</v>
      </c>
    </row>
    <row r="232" spans="2:11" x14ac:dyDescent="0.2">
      <c r="B232" s="40"/>
      <c r="C232" s="40"/>
      <c r="D232" s="41"/>
      <c r="E232" s="41"/>
      <c r="F232" s="54"/>
      <c r="G232" s="45"/>
      <c r="H232" s="42"/>
      <c r="I232" s="42"/>
      <c r="J232" s="43">
        <f t="shared" si="6"/>
        <v>0</v>
      </c>
      <c r="K232" s="43">
        <f t="shared" si="7"/>
        <v>0</v>
      </c>
    </row>
    <row r="233" spans="2:11" x14ac:dyDescent="0.2">
      <c r="B233" s="40"/>
      <c r="C233" s="40"/>
      <c r="D233" s="41"/>
      <c r="E233" s="41"/>
      <c r="F233" s="54"/>
      <c r="G233" s="45"/>
      <c r="H233" s="42"/>
      <c r="I233" s="42"/>
      <c r="J233" s="43">
        <f t="shared" si="6"/>
        <v>0</v>
      </c>
      <c r="K233" s="43">
        <f t="shared" si="7"/>
        <v>0</v>
      </c>
    </row>
    <row r="234" spans="2:11" x14ac:dyDescent="0.2">
      <c r="B234" s="40"/>
      <c r="C234" s="40"/>
      <c r="D234" s="41"/>
      <c r="E234" s="41"/>
      <c r="F234" s="54"/>
      <c r="G234" s="45"/>
      <c r="H234" s="42"/>
      <c r="I234" s="42"/>
      <c r="J234" s="43">
        <f t="shared" si="6"/>
        <v>0</v>
      </c>
      <c r="K234" s="43">
        <f t="shared" si="7"/>
        <v>0</v>
      </c>
    </row>
    <row r="235" spans="2:11" x14ac:dyDescent="0.2">
      <c r="B235" s="40"/>
      <c r="C235" s="40"/>
      <c r="D235" s="41"/>
      <c r="E235" s="41"/>
      <c r="F235" s="54"/>
      <c r="G235" s="45"/>
      <c r="H235" s="42"/>
      <c r="I235" s="42"/>
      <c r="J235" s="43">
        <f t="shared" si="6"/>
        <v>0</v>
      </c>
      <c r="K235" s="43">
        <f t="shared" si="7"/>
        <v>0</v>
      </c>
    </row>
    <row r="236" spans="2:11" x14ac:dyDescent="0.2">
      <c r="B236" s="40"/>
      <c r="C236" s="40"/>
      <c r="D236" s="41"/>
      <c r="E236" s="41"/>
      <c r="F236" s="54"/>
      <c r="G236" s="45"/>
      <c r="H236" s="42"/>
      <c r="I236" s="42"/>
      <c r="J236" s="43">
        <f t="shared" si="6"/>
        <v>0</v>
      </c>
      <c r="K236" s="43">
        <f t="shared" si="7"/>
        <v>0</v>
      </c>
    </row>
  </sheetData>
  <sortState xmlns:xlrd2="http://schemas.microsoft.com/office/spreadsheetml/2017/richdata2" ref="B10:K236">
    <sortCondition ref="B10:B236"/>
    <sortCondition ref="C10:C236"/>
  </sortState>
  <mergeCells count="5">
    <mergeCell ref="F4:F5"/>
    <mergeCell ref="B4:B5"/>
    <mergeCell ref="C4:C5"/>
    <mergeCell ref="D4:D5"/>
    <mergeCell ref="E4:E5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BF5A235-F2F2-408D-AEBF-6E4EFDFCDFCC}">
          <x14:formula1>
            <xm:f>Setup!$B$2:$B$4</xm:f>
          </x14:formula1>
          <xm:sqref>C10:C90</xm:sqref>
        </x14:dataValidation>
        <x14:dataValidation type="list" allowBlank="1" showInputMessage="1" showErrorMessage="1" xr:uid="{B9FCD71B-20B4-4E44-B080-FE39D68D6D05}">
          <x14:formula1>
            <xm:f>Setup!$C$2:$C$4</xm:f>
          </x14:formula1>
          <xm:sqref>F10:F90</xm:sqref>
        </x14:dataValidation>
        <x14:dataValidation type="list" allowBlank="1" showInputMessage="1" showErrorMessage="1" xr:uid="{2A61F87F-A68A-4607-BA2F-E93F45B2966D}">
          <x14:formula1>
            <xm:f>Setup!A$2:A$10</xm:f>
          </x14:formula1>
          <xm:sqref>B10:B90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73530-079F-4CAA-B1C3-AF8473C91176}">
  <dimension ref="A1:C10"/>
  <sheetViews>
    <sheetView zoomScale="90" zoomScaleNormal="90" workbookViewId="0">
      <selection activeCell="A8" sqref="A8"/>
    </sheetView>
  </sheetViews>
  <sheetFormatPr baseColWidth="10" defaultColWidth="9.1640625" defaultRowHeight="15" x14ac:dyDescent="0.2"/>
  <cols>
    <col min="1" max="2" width="13.33203125" customWidth="1"/>
    <col min="3" max="3" width="15.83203125" bestFit="1" customWidth="1"/>
  </cols>
  <sheetData>
    <row r="1" spans="1:3" x14ac:dyDescent="0.2">
      <c r="A1" s="39" t="s">
        <v>24</v>
      </c>
      <c r="B1" s="39" t="s">
        <v>25</v>
      </c>
      <c r="C1" s="39" t="s">
        <v>45</v>
      </c>
    </row>
    <row r="2" spans="1:3" x14ac:dyDescent="0.2">
      <c r="A2" t="s">
        <v>26</v>
      </c>
      <c r="B2" t="s">
        <v>19</v>
      </c>
      <c r="C2" t="s">
        <v>43</v>
      </c>
    </row>
    <row r="3" spans="1:3" x14ac:dyDescent="0.2">
      <c r="A3" t="s">
        <v>27</v>
      </c>
      <c r="B3" t="s">
        <v>20</v>
      </c>
      <c r="C3" t="s">
        <v>46</v>
      </c>
    </row>
    <row r="4" spans="1:3" x14ac:dyDescent="0.2">
      <c r="A4" t="s">
        <v>28</v>
      </c>
      <c r="B4" t="s">
        <v>21</v>
      </c>
      <c r="C4" t="s">
        <v>44</v>
      </c>
    </row>
    <row r="5" spans="1:3" x14ac:dyDescent="0.2">
      <c r="A5" t="s">
        <v>29</v>
      </c>
    </row>
    <row r="6" spans="1:3" x14ac:dyDescent="0.2">
      <c r="A6" t="s">
        <v>30</v>
      </c>
    </row>
    <row r="7" spans="1:3" x14ac:dyDescent="0.2">
      <c r="A7" t="s">
        <v>70</v>
      </c>
    </row>
    <row r="8" spans="1:3" x14ac:dyDescent="0.2">
      <c r="A8" t="s">
        <v>31</v>
      </c>
    </row>
    <row r="9" spans="1:3" x14ac:dyDescent="0.2">
      <c r="A9" t="s">
        <v>32</v>
      </c>
    </row>
    <row r="10" spans="1:3" x14ac:dyDescent="0.2">
      <c r="A10" t="s">
        <v>33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826c8f-2528-489f-b711-00ada6b4f899" xsi:nil="true"/>
    <lcf76f155ced4ddcb4097134ff3c332f xmlns="d691bcbd-9cf7-4350-b510-23f2284c78e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2217EC3A6F4140A8E99CC41DFBC84E" ma:contentTypeVersion="9" ma:contentTypeDescription="Create a new document." ma:contentTypeScope="" ma:versionID="701fbb9a27586e81acf0a82b17c7b3eb">
  <xsd:schema xmlns:xsd="http://www.w3.org/2001/XMLSchema" xmlns:xs="http://www.w3.org/2001/XMLSchema" xmlns:p="http://schemas.microsoft.com/office/2006/metadata/properties" xmlns:ns2="d691bcbd-9cf7-4350-b510-23f2284c78e9" xmlns:ns3="6f826c8f-2528-489f-b711-00ada6b4f899" targetNamespace="http://schemas.microsoft.com/office/2006/metadata/properties" ma:root="true" ma:fieldsID="bc77f55f015ef2670ef74935c58129c2" ns2:_="" ns3:_="">
    <xsd:import namespace="d691bcbd-9cf7-4350-b510-23f2284c78e9"/>
    <xsd:import namespace="6f826c8f-2528-489f-b711-00ada6b4f89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91bcbd-9cf7-4350-b510-23f2284c78e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1effff48-cca9-4807-8ad1-02586ec8c4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826c8f-2528-489f-b711-00ada6b4f899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7373f9d-fc93-4813-9851-87c31c9ba1e1}" ma:internalName="TaxCatchAll" ma:showField="CatchAllData" ma:web="6f826c8f-2528-489f-b711-00ada6b4f8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5E0A7B-EDAC-4752-B117-B17C134CA773}">
  <ds:schemaRefs>
    <ds:schemaRef ds:uri="http://schemas.microsoft.com/office/2006/metadata/properties"/>
    <ds:schemaRef ds:uri="http://purl.org/dc/terms/"/>
    <ds:schemaRef ds:uri="http://www.w3.org/XML/1998/namespace"/>
    <ds:schemaRef ds:uri="d691bcbd-9cf7-4350-b510-23f2284c78e9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6f826c8f-2528-489f-b711-00ada6b4f899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934F4DE-5397-47D9-A238-60655EF47C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91bcbd-9cf7-4350-b510-23f2284c78e9"/>
    <ds:schemaRef ds:uri="6f826c8f-2528-489f-b711-00ada6b4f8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0D6A1A5-00D1-4052-B0D5-055EFFF93A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Uruguay P&amp;L</vt:lpstr>
      <vt:lpstr>Uruguay Phasing</vt:lpstr>
      <vt:lpstr>Pipeline</vt:lpstr>
      <vt:lpstr>Setup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Zamprogno</dc:creator>
  <cp:lastModifiedBy>Mariana Piriz</cp:lastModifiedBy>
  <dcterms:created xsi:type="dcterms:W3CDTF">2024-09-23T19:06:13Z</dcterms:created>
  <dcterms:modified xsi:type="dcterms:W3CDTF">2025-06-06T19:04:26Z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0x0101004E2217EC3A6F4140A8E99CC41DFBC84E</vt:lpwstr>
  </property>
  <property fmtid="{D5CDD505-2E9C-101B-9397-08002B2CF9AE}" pid="3" name="MediaServiceImageTags">
    <vt:lpwstr/>
  </property>
</Properties>
</file>